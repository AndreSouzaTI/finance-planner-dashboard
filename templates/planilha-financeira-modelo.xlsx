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Lançamentos" state="visible" r:id="rId5"/>
    <sheet sheetId="3" name="Dívidas" state="visible" r:id="rId6"/>
    <sheet sheetId="4" name="Investimentos" state="visible" r:id="rId7"/>
    <sheet sheetId="5" name="Listas" state="hidden" r:id="rId8"/>
  </sheets>
  <calcPr calcId="171027" fullCalcOnLoad="1"/>
</workbook>
</file>

<file path=xl/sharedStrings.xml><?xml version="1.0" encoding="utf-8"?>
<sst xmlns="http://schemas.openxmlformats.org/spreadsheetml/2006/main" count="117" uniqueCount="99">
  <si>
    <t>Resumo financeiro</t>
  </si>
  <si>
    <t>Mês de referência (altere a data):</t>
  </si>
  <si>
    <t>Gastos por categoria</t>
  </si>
  <si>
    <t>Total</t>
  </si>
  <si>
    <t>% do mês</t>
  </si>
  <si>
    <t>Ganhos do mês</t>
  </si>
  <si>
    <t>Moradia</t>
  </si>
  <si>
    <t>Gastos do mês</t>
  </si>
  <si>
    <t>Alimentação</t>
  </si>
  <si>
    <t>Saldo do mês</t>
  </si>
  <si>
    <t>Mercado</t>
  </si>
  <si>
    <t>Taxa de poupança</t>
  </si>
  <si>
    <t>Transporte</t>
  </si>
  <si>
    <t>Dívidas em aberto</t>
  </si>
  <si>
    <t>Contas da casa</t>
  </si>
  <si>
    <t>Juros das dívidas por mês</t>
  </si>
  <si>
    <t>Saúde</t>
  </si>
  <si>
    <t>Parcelas de dívidas por mês</t>
  </si>
  <si>
    <t>Educação</t>
  </si>
  <si>
    <t>Comprometimento da renda</t>
  </si>
  <si>
    <t>Lazer</t>
  </si>
  <si>
    <t>Patrimônio investido</t>
  </si>
  <si>
    <t>Assinaturas</t>
  </si>
  <si>
    <t>Aportes planejados por mês</t>
  </si>
  <si>
    <t>Vestuário</t>
  </si>
  <si>
    <t>Pagamento de dívidas</t>
  </si>
  <si>
    <t>Últimos 12 meses</t>
  </si>
  <si>
    <t>Investimentos</t>
  </si>
  <si>
    <t>Mês</t>
  </si>
  <si>
    <t>Ganhos</t>
  </si>
  <si>
    <t>Gastos</t>
  </si>
  <si>
    <t>Saldo</t>
  </si>
  <si>
    <t>Outros gastos</t>
  </si>
  <si>
    <t>Dica: registre tudo na aba Lançamentos. Este resumo, as fórmulas das dívidas e dos investimentos se atualizam sozinhos.</t>
  </si>
  <si>
    <t>Data</t>
  </si>
  <si>
    <t>Descrição</t>
  </si>
  <si>
    <t>Categoria</t>
  </si>
  <si>
    <t>Tipo</t>
  </si>
  <si>
    <t>Valor</t>
  </si>
  <si>
    <t>Forma de pagamento</t>
  </si>
  <si>
    <t>Credor</t>
  </si>
  <si>
    <t>Saldo devedor</t>
  </si>
  <si>
    <t>Juros a.m. (%)</t>
  </si>
  <si>
    <t>Juros a.a. (equiv.)</t>
  </si>
  <si>
    <t>Parcela mensal</t>
  </si>
  <si>
    <t>Dia venc.</t>
  </si>
  <si>
    <t>Em atraso</t>
  </si>
  <si>
    <t>Juros gerados/mês</t>
  </si>
  <si>
    <t>Observações</t>
  </si>
  <si>
    <t>Nome</t>
  </si>
  <si>
    <t>Situação</t>
  </si>
  <si>
    <t>Valor aplicado</t>
  </si>
  <si>
    <t>Valor atual</t>
  </si>
  <si>
    <t>Rendimento</t>
  </si>
  <si>
    <t>Aporte mensal</t>
  </si>
  <si>
    <t>Meta</t>
  </si>
  <si>
    <t>Progresso</t>
  </si>
  <si>
    <t>Rent. esperada (% a.a.)</t>
  </si>
  <si>
    <t>Início</t>
  </si>
  <si>
    <t>Tipos</t>
  </si>
  <si>
    <t>Categorias</t>
  </si>
  <si>
    <t>Formas de pagamento</t>
  </si>
  <si>
    <t>Tipos de dívida</t>
  </si>
  <si>
    <t>Tipos de investimento</t>
  </si>
  <si>
    <t>Sim/Não</t>
  </si>
  <si>
    <t>Ganho</t>
  </si>
  <si>
    <t>Pix</t>
  </si>
  <si>
    <t>Cartão de crédito</t>
  </si>
  <si>
    <t>Reserva de emergência</t>
  </si>
  <si>
    <t>Ativo</t>
  </si>
  <si>
    <t>Sim</t>
  </si>
  <si>
    <t>Gasto</t>
  </si>
  <si>
    <t>Débito</t>
  </si>
  <si>
    <t>Cheque especial</t>
  </si>
  <si>
    <t>Tesouro Direto</t>
  </si>
  <si>
    <t>Planejado</t>
  </si>
  <si>
    <t>Não</t>
  </si>
  <si>
    <t>Empréstimo pessoal</t>
  </si>
  <si>
    <t>CDB</t>
  </si>
  <si>
    <t>Dinheiro</t>
  </si>
  <si>
    <t>Consignado</t>
  </si>
  <si>
    <t>LCI / LCA</t>
  </si>
  <si>
    <t>Boleto</t>
  </si>
  <si>
    <t>Financiamento</t>
  </si>
  <si>
    <t>Ações</t>
  </si>
  <si>
    <t>Transferência</t>
  </si>
  <si>
    <t>Crediário / loja</t>
  </si>
  <si>
    <t>Fundos imobiliários</t>
  </si>
  <si>
    <t>Outra</t>
  </si>
  <si>
    <t>ETFs</t>
  </si>
  <si>
    <t>Previdência</t>
  </si>
  <si>
    <t>Criptoativos</t>
  </si>
  <si>
    <t>Outro</t>
  </si>
  <si>
    <t>Salário</t>
  </si>
  <si>
    <t>Freelance / bico</t>
  </si>
  <si>
    <t>Vendas</t>
  </si>
  <si>
    <t>Benefícios</t>
  </si>
  <si>
    <t>Rendimentos</t>
  </si>
  <si>
    <t>Outras receitas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</si>
</sst>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/yyyy"/>
    <numFmt numFmtId="165" formatCode="dd/mm/yyyy"/>
    <numFmt numFmtId="166" formatCode="&quot;R$&quot; #,##0.00;[Red]-&quot;R$&quot; #,##0.00"/>
    <numFmt numFmtId="167" formatCode="0.0%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color rgb="FF8A94A3"/>
    </font>
    <font>
      <b/>
      <color rgb="FFFFFFFF"/>
    </font>
    <font>
      <b/>
      <sz val="13"/>
    </font>
    <font>
      <i/>
      <color rgb="FF5F6B7A"/>
    </font>
  </fonts>
  <fills count="4">
    <fill>
      <patternFill patternType="none"/>
    </fill>
    <fill>
      <patternFill patternType="gray125"/>
    </fill>
    <fill>
      <patternFill patternType="solid">
        <fgColor rgb="FFEEF3FF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2" fillId="2" borderId="0" xfId="0" applyNumberFormat="1" applyFont="1" applyFill="1"/>
    <xf numFmtId="165" fontId="3" fillId="0" borderId="0" xfId="0" applyNumberFormat="1" applyFont="1"/>
    <xf numFmtId="0" fontId="4" fillId="3" borderId="0" xfId="0" applyFont="1" applyFill="1"/>
    <xf numFmtId="166" fontId="2" fillId="0" borderId="0" xfId="0" applyNumberFormat="1" applyFont="1"/>
    <xf numFmtId="166" fontId="0" fillId="0" borderId="0" xfId="0" applyNumberFormat="1"/>
    <xf numFmtId="167" fontId="0" fillId="0" borderId="0" xfId="0" applyNumberFormat="1"/>
    <xf numFmtId="167" fontId="2" fillId="0" borderId="0" xfId="0" applyNumberFormat="1" applyFont="1"/>
    <xf numFmtId="0" fontId="5" fillId="0" borderId="0" xfId="0" applyFont="1"/>
    <xf numFmtId="164" fontId="0" fillId="0" borderId="0" xfId="0" applyNumberFormat="1"/>
    <xf numFmtId="0" fontId="6" fillId="0" borderId="0" xfId="0" applyFont="1"/>
    <xf numFmtId="165" fontId="0" fillId="0" borderId="0" xfId="0" applyNumberFormat="1"/>
    <xf numFmtId="0" fontId="4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6" fontId="4" fillId="3" borderId="0" xfId="0" applyNumberFormat="1" applyFont="1" applyFill="1" applyAlignment="1">
      <alignment vertical="center"/>
    </xf>
    <xf numFmtId="2" fontId="0" fillId="0" borderId="0" xfId="0" applyNumberFormat="1"/>
    <xf numFmtId="2" fontId="4" fillId="3" borderId="0" xfId="0" applyNumberFormat="1" applyFont="1" applyFill="1" applyAlignment="1">
      <alignment vertical="center"/>
    </xf>
    <xf numFmtId="167" fontId="4" fillId="3" borderId="0" xfId="0" applyNumberFormat="1" applyFont="1" applyFill="1" applyAlignment="1">
      <alignment vertical="center"/>
    </xf>
  </cellXfs>
  <cellStyles count="1">
    <cellStyle name="Normal" xfId="0" builtinId="0"/>
  </cellStyles>
  <dxfs count="2">
    <dxf>
      <font>
        <b/>
        <color rgb="FFC92A2A"/>
      </font>
    </dxf>
    <dxf>
      <font>
        <b/>
        <color rgb="FFC92A2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H30"/>
  <sheetFormatPr defaultRowHeight="15" outlineLevelRow="0" outlineLevelCol="0" x14ac:dyDescent="55"/>
  <cols>
    <col min="1" max="1" width="30" customWidth="1"/>
    <col min="2" max="4" width="18" customWidth="1"/>
    <col min="5" max="5" width="4" customWidth="1"/>
    <col min="6" max="6" width="26" customWidth="1"/>
    <col min="7" max="7" width="18" customWidth="1"/>
    <col min="8" max="8" width="12" customWidth="1"/>
  </cols>
  <sheetData>
    <row r="1" spans="1:1" x14ac:dyDescent="0.25">
      <c r="A1" s="1" t="s">
        <v>0</v>
      </c>
    </row>
    <row r="2" spans="1:3" x14ac:dyDescent="0.25">
      <c r="A2" t="s">
        <v>1</v>
      </c>
      <c r="B2" s="2">
        <v>46296</v>
      </c>
      <c r="C2" s="3">
        <f>EOMONTH(B2,0)</f>
      </c>
    </row>
    <row r="3" spans="6:8" x14ac:dyDescent="0.25">
      <c r="F3" s="4" t="s">
        <v>2</v>
      </c>
      <c r="G3" s="4" t="s">
        <v>3</v>
      </c>
      <c r="H3" s="4" t="s">
        <v>4</v>
      </c>
    </row>
    <row r="4" spans="1:8" x14ac:dyDescent="0.25">
      <c r="A4" t="s">
        <v>5</v>
      </c>
      <c r="B4" s="5">
        <f>SUMIFS('Lançamentos'!$E:$E,'Lançamentos'!$D:$D,"Ganho",'Lançamentos'!$A:$A,"&gt;="&amp;$B$2,'Lançamentos'!$A:$A,"&lt;="&amp;$C$2)</f>
      </c>
      <c r="F4" t="s">
        <v>6</v>
      </c>
      <c r="G4" s="6">
        <f>SUMIFS('Lançamentos'!$E:$E,'Lançamentos'!$D:$D,"Gasto",'Lançamentos'!$A:$A,"&gt;="&amp;$B$2,'Lançamentos'!$A:$A,"&lt;="&amp;$C$2,'Lançamentos'!$C:$C,F4)</f>
      </c>
      <c r="H4" s="7">
        <f>IF($B$5=0,0,G4/$B$5)</f>
      </c>
    </row>
    <row r="5" spans="1:8" x14ac:dyDescent="0.25">
      <c r="A5" t="s">
        <v>7</v>
      </c>
      <c r="B5" s="5">
        <f>SUMIFS('Lançamentos'!$E:$E,'Lançamentos'!$D:$D,"Gasto",'Lançamentos'!$A:$A,"&gt;="&amp;$B$2,'Lançamentos'!$A:$A,"&lt;="&amp;$C$2)</f>
      </c>
      <c r="F5" t="s">
        <v>8</v>
      </c>
      <c r="G5" s="6">
        <f>SUMIFS('Lançamentos'!$E:$E,'Lançamentos'!$D:$D,"Gasto",'Lançamentos'!$A:$A,"&gt;="&amp;$B$2,'Lançamentos'!$A:$A,"&lt;="&amp;$C$2,'Lançamentos'!$C:$C,F5)</f>
      </c>
      <c r="H5" s="7">
        <f>IF($B$5=0,0,G5/$B$5)</f>
      </c>
    </row>
    <row r="6" spans="1:8" x14ac:dyDescent="0.25">
      <c r="A6" t="s">
        <v>9</v>
      </c>
      <c r="B6" s="5">
        <f>B4-B5</f>
      </c>
      <c r="F6" t="s">
        <v>10</v>
      </c>
      <c r="G6" s="6">
        <f>SUMIFS('Lançamentos'!$E:$E,'Lançamentos'!$D:$D,"Gasto",'Lançamentos'!$A:$A,"&gt;="&amp;$B$2,'Lançamentos'!$A:$A,"&lt;="&amp;$C$2,'Lançamentos'!$C:$C,F6)</f>
      </c>
      <c r="H6" s="7">
        <f>IF($B$5=0,0,G6/$B$5)</f>
      </c>
    </row>
    <row r="7" spans="1:8" x14ac:dyDescent="0.25">
      <c r="A7" t="s">
        <v>11</v>
      </c>
      <c r="B7" s="8">
        <f>IF(B4=0,0,B6/B4)</f>
      </c>
      <c r="F7" t="s">
        <v>12</v>
      </c>
      <c r="G7" s="6">
        <f>SUMIFS('Lançamentos'!$E:$E,'Lançamentos'!$D:$D,"Gasto",'Lançamentos'!$A:$A,"&gt;="&amp;$B$2,'Lançamentos'!$A:$A,"&lt;="&amp;$C$2,'Lançamentos'!$C:$C,F7)</f>
      </c>
      <c r="H7" s="7">
        <f>IF($B$5=0,0,G7/$B$5)</f>
      </c>
    </row>
    <row r="8" spans="1:8" x14ac:dyDescent="0.25">
      <c r="A8" t="s">
        <v>13</v>
      </c>
      <c r="B8" s="5">
        <f>SUM('Dívidas'!$C:$C)</f>
      </c>
      <c r="F8" t="s">
        <v>14</v>
      </c>
      <c r="G8" s="6">
        <f>SUMIFS('Lançamentos'!$E:$E,'Lançamentos'!$D:$D,"Gasto",'Lançamentos'!$A:$A,"&gt;="&amp;$B$2,'Lançamentos'!$A:$A,"&lt;="&amp;$C$2,'Lançamentos'!$C:$C,F8)</f>
      </c>
      <c r="H8" s="7">
        <f>IF($B$5=0,0,G8/$B$5)</f>
      </c>
    </row>
    <row r="9" spans="1:8" x14ac:dyDescent="0.25">
      <c r="A9" t="s">
        <v>15</v>
      </c>
      <c r="B9" s="5">
        <f>SUM('Dívidas'!$I:$I)</f>
      </c>
      <c r="F9" t="s">
        <v>16</v>
      </c>
      <c r="G9" s="6">
        <f>SUMIFS('Lançamentos'!$E:$E,'Lançamentos'!$D:$D,"Gasto",'Lançamentos'!$A:$A,"&gt;="&amp;$B$2,'Lançamentos'!$A:$A,"&lt;="&amp;$C$2,'Lançamentos'!$C:$C,F9)</f>
      </c>
      <c r="H9" s="7">
        <f>IF($B$5=0,0,G9/$B$5)</f>
      </c>
    </row>
    <row r="10" spans="1:8" x14ac:dyDescent="0.25">
      <c r="A10" t="s">
        <v>17</v>
      </c>
      <c r="B10" s="5">
        <f>SUM('Dívidas'!$F:$F)</f>
      </c>
      <c r="F10" t="s">
        <v>18</v>
      </c>
      <c r="G10" s="6">
        <f>SUMIFS('Lançamentos'!$E:$E,'Lançamentos'!$D:$D,"Gasto",'Lançamentos'!$A:$A,"&gt;="&amp;$B$2,'Lançamentos'!$A:$A,"&lt;="&amp;$C$2,'Lançamentos'!$C:$C,F10)</f>
      </c>
      <c r="H10" s="7">
        <f>IF($B$5=0,0,G10/$B$5)</f>
      </c>
    </row>
    <row r="11" spans="1:8" x14ac:dyDescent="0.25">
      <c r="A11" t="s">
        <v>19</v>
      </c>
      <c r="B11" s="8">
        <f>IF(B4=0,0,B10/B4)</f>
      </c>
      <c r="F11" t="s">
        <v>20</v>
      </c>
      <c r="G11" s="6">
        <f>SUMIFS('Lançamentos'!$E:$E,'Lançamentos'!$D:$D,"Gasto",'Lançamentos'!$A:$A,"&gt;="&amp;$B$2,'Lançamentos'!$A:$A,"&lt;="&amp;$C$2,'Lançamentos'!$C:$C,F11)</f>
      </c>
      <c r="H11" s="7">
        <f>IF($B$5=0,0,G11/$B$5)</f>
      </c>
    </row>
    <row r="12" spans="1:8" x14ac:dyDescent="0.25">
      <c r="A12" t="s">
        <v>21</v>
      </c>
      <c r="B12" s="5">
        <f>SUMIFS(Investimentos!$E:$E,Investimentos!$C:$C,"Ativo")</f>
      </c>
      <c r="F12" t="s">
        <v>22</v>
      </c>
      <c r="G12" s="6">
        <f>SUMIFS('Lançamentos'!$E:$E,'Lançamentos'!$D:$D,"Gasto",'Lançamentos'!$A:$A,"&gt;="&amp;$B$2,'Lançamentos'!$A:$A,"&lt;="&amp;$C$2,'Lançamentos'!$C:$C,F12)</f>
      </c>
      <c r="H12" s="7">
        <f>IF($B$5=0,0,G12/$B$5)</f>
      </c>
    </row>
    <row r="13" spans="1:8" x14ac:dyDescent="0.25">
      <c r="A13" t="s">
        <v>23</v>
      </c>
      <c r="B13" s="5">
        <f>SUM(Investimentos!$G:$G)</f>
      </c>
      <c r="F13" t="s">
        <v>24</v>
      </c>
      <c r="G13" s="6">
        <f>SUMIFS('Lançamentos'!$E:$E,'Lançamentos'!$D:$D,"Gasto",'Lançamentos'!$A:$A,"&gt;="&amp;$B$2,'Lançamentos'!$A:$A,"&lt;="&amp;$C$2,'Lançamentos'!$C:$C,F13)</f>
      </c>
      <c r="H13" s="7">
        <f>IF($B$5=0,0,G13/$B$5)</f>
      </c>
    </row>
    <row r="14" spans="6:8" x14ac:dyDescent="0.25">
      <c r="F14" t="s">
        <v>25</v>
      </c>
      <c r="G14" s="6">
        <f>SUMIFS('Lançamentos'!$E:$E,'Lançamentos'!$D:$D,"Gasto",'Lançamentos'!$A:$A,"&gt;="&amp;$B$2,'Lançamentos'!$A:$A,"&lt;="&amp;$C$2,'Lançamentos'!$C:$C,F14)</f>
      </c>
      <c r="H14" s="7">
        <f>IF($B$5=0,0,G14/$B$5)</f>
      </c>
    </row>
    <row r="15" spans="1:8" x14ac:dyDescent="0.25">
      <c r="A15" s="9" t="s">
        <v>26</v>
      </c>
      <c r="F15" t="s">
        <v>27</v>
      </c>
      <c r="G15" s="6">
        <f>SUMIFS('Lançamentos'!$E:$E,'Lançamentos'!$D:$D,"Gasto",'Lançamentos'!$A:$A,"&gt;="&amp;$B$2,'Lançamentos'!$A:$A,"&lt;="&amp;$C$2,'Lançamentos'!$C:$C,F15)</f>
      </c>
      <c r="H15" s="7">
        <f>IF($B$5=0,0,G15/$B$5)</f>
      </c>
    </row>
    <row r="16" spans="1:8" x14ac:dyDescent="0.25">
      <c r="A16" s="4" t="s">
        <v>28</v>
      </c>
      <c r="B16" s="4" t="s">
        <v>29</v>
      </c>
      <c r="C16" s="4" t="s">
        <v>30</v>
      </c>
      <c r="D16" s="4" t="s">
        <v>31</v>
      </c>
      <c r="F16" t="s">
        <v>32</v>
      </c>
      <c r="G16" s="6">
        <f>SUMIFS('Lançamentos'!$E:$E,'Lançamentos'!$D:$D,"Gasto",'Lançamentos'!$A:$A,"&gt;="&amp;$B$2,'Lançamentos'!$A:$A,"&lt;="&amp;$C$2,'Lançamentos'!$C:$C,F16)</f>
      </c>
      <c r="H16" s="7">
        <f>IF($B$5=0,0,G16/$B$5)</f>
      </c>
    </row>
    <row r="17" spans="1:4" x14ac:dyDescent="0.25">
      <c r="A17" s="10">
        <f>EDATE($B$2,-11)</f>
      </c>
      <c r="B17" s="6">
        <f>SUMIFS('Lançamentos'!$E:$E,'Lançamentos'!$D:$D,"Ganho",'Lançamentos'!$A:$A,"&gt;="&amp;$A17,'Lançamentos'!$A:$A,"&lt;="&amp;EOMONTH($A17,0))</f>
      </c>
      <c r="C17" s="6">
        <f>SUMIFS('Lançamentos'!$E:$E,'Lançamentos'!$D:$D,"Gasto",'Lançamentos'!$A:$A,"&gt;="&amp;$A17,'Lançamentos'!$A:$A,"&lt;="&amp;EOMONTH($A17,0))</f>
      </c>
      <c r="D17" s="6">
        <f>B17-C17</f>
      </c>
    </row>
    <row r="18" spans="1:4" x14ac:dyDescent="0.25">
      <c r="A18" s="10">
        <f>EDATE($B$2,-10)</f>
      </c>
      <c r="B18" s="6">
        <f>SUMIFS('Lançamentos'!$E:$E,'Lançamentos'!$D:$D,"Ganho",'Lançamentos'!$A:$A,"&gt;="&amp;$A18,'Lançamentos'!$A:$A,"&lt;="&amp;EOMONTH($A18,0))</f>
      </c>
      <c r="C18" s="6">
        <f>SUMIFS('Lançamentos'!$E:$E,'Lançamentos'!$D:$D,"Gasto",'Lançamentos'!$A:$A,"&gt;="&amp;$A18,'Lançamentos'!$A:$A,"&lt;="&amp;EOMONTH($A18,0))</f>
      </c>
      <c r="D18" s="6">
        <f>B18-C18</f>
      </c>
    </row>
    <row r="19" spans="1:4" x14ac:dyDescent="0.25">
      <c r="A19" s="10">
        <f>EDATE($B$2,-9)</f>
      </c>
      <c r="B19" s="6">
        <f>SUMIFS('Lançamentos'!$E:$E,'Lançamentos'!$D:$D,"Ganho",'Lançamentos'!$A:$A,"&gt;="&amp;$A19,'Lançamentos'!$A:$A,"&lt;="&amp;EOMONTH($A19,0))</f>
      </c>
      <c r="C19" s="6">
        <f>SUMIFS('Lançamentos'!$E:$E,'Lançamentos'!$D:$D,"Gasto",'Lançamentos'!$A:$A,"&gt;="&amp;$A19,'Lançamentos'!$A:$A,"&lt;="&amp;EOMONTH($A19,0))</f>
      </c>
      <c r="D19" s="6">
        <f>B19-C19</f>
      </c>
    </row>
    <row r="20" spans="1:4" x14ac:dyDescent="0.25">
      <c r="A20" s="10">
        <f>EDATE($B$2,-8)</f>
      </c>
      <c r="B20" s="6">
        <f>SUMIFS('Lançamentos'!$E:$E,'Lançamentos'!$D:$D,"Ganho",'Lançamentos'!$A:$A,"&gt;="&amp;$A20,'Lançamentos'!$A:$A,"&lt;="&amp;EOMONTH($A20,0))</f>
      </c>
      <c r="C20" s="6">
        <f>SUMIFS('Lançamentos'!$E:$E,'Lançamentos'!$D:$D,"Gasto",'Lançamentos'!$A:$A,"&gt;="&amp;$A20,'Lançamentos'!$A:$A,"&lt;="&amp;EOMONTH($A20,0))</f>
      </c>
      <c r="D20" s="6">
        <f>B20-C20</f>
      </c>
    </row>
    <row r="21" spans="1:4" x14ac:dyDescent="0.25">
      <c r="A21" s="10">
        <f>EDATE($B$2,-7)</f>
      </c>
      <c r="B21" s="6">
        <f>SUMIFS('Lançamentos'!$E:$E,'Lançamentos'!$D:$D,"Ganho",'Lançamentos'!$A:$A,"&gt;="&amp;$A21,'Lançamentos'!$A:$A,"&lt;="&amp;EOMONTH($A21,0))</f>
      </c>
      <c r="C21" s="6">
        <f>SUMIFS('Lançamentos'!$E:$E,'Lançamentos'!$D:$D,"Gasto",'Lançamentos'!$A:$A,"&gt;="&amp;$A21,'Lançamentos'!$A:$A,"&lt;="&amp;EOMONTH($A21,0))</f>
      </c>
      <c r="D21" s="6">
        <f>B21-C21</f>
      </c>
    </row>
    <row r="22" spans="1:4" x14ac:dyDescent="0.25">
      <c r="A22" s="10">
        <f>EDATE($B$2,-6)</f>
      </c>
      <c r="B22" s="6">
        <f>SUMIFS('Lançamentos'!$E:$E,'Lançamentos'!$D:$D,"Ganho",'Lançamentos'!$A:$A,"&gt;="&amp;$A22,'Lançamentos'!$A:$A,"&lt;="&amp;EOMONTH($A22,0))</f>
      </c>
      <c r="C22" s="6">
        <f>SUMIFS('Lançamentos'!$E:$E,'Lançamentos'!$D:$D,"Gasto",'Lançamentos'!$A:$A,"&gt;="&amp;$A22,'Lançamentos'!$A:$A,"&lt;="&amp;EOMONTH($A22,0))</f>
      </c>
      <c r="D22" s="6">
        <f>B22-C22</f>
      </c>
    </row>
    <row r="23" spans="1:4" x14ac:dyDescent="0.25">
      <c r="A23" s="10">
        <f>EDATE($B$2,-5)</f>
      </c>
      <c r="B23" s="6">
        <f>SUMIFS('Lançamentos'!$E:$E,'Lançamentos'!$D:$D,"Ganho",'Lançamentos'!$A:$A,"&gt;="&amp;$A23,'Lançamentos'!$A:$A,"&lt;="&amp;EOMONTH($A23,0))</f>
      </c>
      <c r="C23" s="6">
        <f>SUMIFS('Lançamentos'!$E:$E,'Lançamentos'!$D:$D,"Gasto",'Lançamentos'!$A:$A,"&gt;="&amp;$A23,'Lançamentos'!$A:$A,"&lt;="&amp;EOMONTH($A23,0))</f>
      </c>
      <c r="D23" s="6">
        <f>B23-C23</f>
      </c>
    </row>
    <row r="24" spans="1:4" x14ac:dyDescent="0.25">
      <c r="A24" s="10">
        <f>EDATE($B$2,-4)</f>
      </c>
      <c r="B24" s="6">
        <f>SUMIFS('Lançamentos'!$E:$E,'Lançamentos'!$D:$D,"Ganho",'Lançamentos'!$A:$A,"&gt;="&amp;$A24,'Lançamentos'!$A:$A,"&lt;="&amp;EOMONTH($A24,0))</f>
      </c>
      <c r="C24" s="6">
        <f>SUMIFS('Lançamentos'!$E:$E,'Lançamentos'!$D:$D,"Gasto",'Lançamentos'!$A:$A,"&gt;="&amp;$A24,'Lançamentos'!$A:$A,"&lt;="&amp;EOMONTH($A24,0))</f>
      </c>
      <c r="D24" s="6">
        <f>B24-C24</f>
      </c>
    </row>
    <row r="25" spans="1:4" x14ac:dyDescent="0.25">
      <c r="A25" s="10">
        <f>EDATE($B$2,-3)</f>
      </c>
      <c r="B25" s="6">
        <f>SUMIFS('Lançamentos'!$E:$E,'Lançamentos'!$D:$D,"Ganho",'Lançamentos'!$A:$A,"&gt;="&amp;$A25,'Lançamentos'!$A:$A,"&lt;="&amp;EOMONTH($A25,0))</f>
      </c>
      <c r="C25" s="6">
        <f>SUMIFS('Lançamentos'!$E:$E,'Lançamentos'!$D:$D,"Gasto",'Lançamentos'!$A:$A,"&gt;="&amp;$A25,'Lançamentos'!$A:$A,"&lt;="&amp;EOMONTH($A25,0))</f>
      </c>
      <c r="D25" s="6">
        <f>B25-C25</f>
      </c>
    </row>
    <row r="26" spans="1:4" x14ac:dyDescent="0.25">
      <c r="A26" s="10">
        <f>EDATE($B$2,-2)</f>
      </c>
      <c r="B26" s="6">
        <f>SUMIFS('Lançamentos'!$E:$E,'Lançamentos'!$D:$D,"Ganho",'Lançamentos'!$A:$A,"&gt;="&amp;$A26,'Lançamentos'!$A:$A,"&lt;="&amp;EOMONTH($A26,0))</f>
      </c>
      <c r="C26" s="6">
        <f>SUMIFS('Lançamentos'!$E:$E,'Lançamentos'!$D:$D,"Gasto",'Lançamentos'!$A:$A,"&gt;="&amp;$A26,'Lançamentos'!$A:$A,"&lt;="&amp;EOMONTH($A26,0))</f>
      </c>
      <c r="D26" s="6">
        <f>B26-C26</f>
      </c>
    </row>
    <row r="27" spans="1:4" x14ac:dyDescent="0.25">
      <c r="A27" s="10">
        <f>EDATE($B$2,-1)</f>
      </c>
      <c r="B27" s="6">
        <f>SUMIFS('Lançamentos'!$E:$E,'Lançamentos'!$D:$D,"Ganho",'Lançamentos'!$A:$A,"&gt;="&amp;$A27,'Lançamentos'!$A:$A,"&lt;="&amp;EOMONTH($A27,0))</f>
      </c>
      <c r="C27" s="6">
        <f>SUMIFS('Lançamentos'!$E:$E,'Lançamentos'!$D:$D,"Gasto",'Lançamentos'!$A:$A,"&gt;="&amp;$A27,'Lançamentos'!$A:$A,"&lt;="&amp;EOMONTH($A27,0))</f>
      </c>
      <c r="D27" s="6">
        <f>B27-C27</f>
      </c>
    </row>
    <row r="28" spans="1:4" x14ac:dyDescent="0.25">
      <c r="A28" s="10">
        <f>EDATE($B$2,0)</f>
      </c>
      <c r="B28" s="6">
        <f>SUMIFS('Lançamentos'!$E:$E,'Lançamentos'!$D:$D,"Ganho",'Lançamentos'!$A:$A,"&gt;="&amp;$A28,'Lançamentos'!$A:$A,"&lt;="&amp;EOMONTH($A28,0))</f>
      </c>
      <c r="C28" s="6">
        <f>SUMIFS('Lançamentos'!$E:$E,'Lançamentos'!$D:$D,"Gasto",'Lançamentos'!$A:$A,"&gt;="&amp;$A28,'Lançamentos'!$A:$A,"&lt;="&amp;EOMONTH($A28,0))</f>
      </c>
      <c r="D28" s="6">
        <f>B28-C28</f>
      </c>
    </row>
    <row r="30" spans="1:1" x14ac:dyDescent="0.25">
      <c r="A30" s="11" t="s">
        <v>33</v>
      </c>
    </row>
  </sheetData>
  <conditionalFormatting sqref="B6">
    <cfRule type="cellIs" dxfId="0" priority="1" operator="lessThan">
      <formula>0</formula>
    </cfRule>
  </conditionalFormatting>
  <conditionalFormatting sqref="H4:H16">
    <cfRule type="dataBar" priority="1">
      <dataBar>
        <cfvo type="num" val="0"/>
        <cfvo type="num" val="1"/>
        <color rgb="FFF97316"/>
      </dataBar>
      <extLst>
        <ext xmlns:x14="http://schemas.microsoft.com/office/spreadsheetml/2009/9/main" uri="{B025F937-C7B1-47D3-B67F-A62EFF666E3E}">
          <x14:id>{241D28C0-40F4-4D2D-B45F-656C45B51D04}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1D28C0-40F4-4D2D-B45F-656C45B51D04}">
            <x14:dataBar minLength="0" maxLength="100">
              <x14:cfvo type="num">
                <xm:f>0</xm:f>
              </x14:cfvo>
              <x14:cfvo type="num">
                <xm:f>1</xm:f>
              </x14:cfvo>
            </x14:dataBar>
          </x14:cfRule>
          <xm:sqref>H4:H16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F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2" customWidth="1"/>
    <col min="2" max="2" width="34" customWidth="1"/>
    <col min="3" max="3" width="22" customWidth="1"/>
    <col min="4" max="4" width="10" customWidth="1"/>
    <col min="5" max="5" width="15" style="6" customWidth="1"/>
    <col min="6" max="6" width="20" customWidth="1"/>
  </cols>
  <sheetData>
    <row r="1" ht="22" customHeight="1" spans="1:6" s="13" customFormat="1" x14ac:dyDescent="0.25">
      <c r="A1" s="14" t="s">
        <v>34</v>
      </c>
      <c r="B1" s="13" t="s">
        <v>35</v>
      </c>
      <c r="C1" s="13" t="s">
        <v>36</v>
      </c>
      <c r="D1" s="13" t="s">
        <v>37</v>
      </c>
      <c r="E1" s="15" t="s">
        <v>38</v>
      </c>
      <c r="F1" s="13" t="s">
        <v>39</v>
      </c>
    </row>
    <row r="2" spans="3:6" x14ac:dyDescent="0.25"/>
    <row r="3" spans="3:6" x14ac:dyDescent="0.25"/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  <row r="201" spans="3:6" x14ac:dyDescent="0.25"/>
    <row r="202" spans="3:6" x14ac:dyDescent="0.25"/>
    <row r="203" spans="3:6" x14ac:dyDescent="0.25"/>
    <row r="204" spans="3:6" x14ac:dyDescent="0.25"/>
    <row r="205" spans="3:6" x14ac:dyDescent="0.25"/>
    <row r="206" spans="3:6" x14ac:dyDescent="0.25"/>
    <row r="207" spans="3:6" x14ac:dyDescent="0.25"/>
    <row r="208" spans="3:6" x14ac:dyDescent="0.25"/>
    <row r="209" spans="3:6" x14ac:dyDescent="0.25"/>
    <row r="210" spans="3:6" x14ac:dyDescent="0.25"/>
    <row r="211" spans="3:6" x14ac:dyDescent="0.25"/>
    <row r="212" spans="3:6" x14ac:dyDescent="0.25"/>
    <row r="213" spans="3:6" x14ac:dyDescent="0.25"/>
    <row r="214" spans="3:6" x14ac:dyDescent="0.25"/>
    <row r="215" spans="3:6" x14ac:dyDescent="0.25"/>
    <row r="216" spans="3:6" x14ac:dyDescent="0.25"/>
    <row r="217" spans="3:6" x14ac:dyDescent="0.25"/>
    <row r="218" spans="3:6" x14ac:dyDescent="0.25"/>
    <row r="219" spans="3:6" x14ac:dyDescent="0.25"/>
    <row r="220" spans="3:6" x14ac:dyDescent="0.25"/>
    <row r="221" spans="3:6" x14ac:dyDescent="0.25"/>
    <row r="222" spans="3:6" x14ac:dyDescent="0.25"/>
    <row r="223" spans="3:6" x14ac:dyDescent="0.25"/>
    <row r="224" spans="3:6" x14ac:dyDescent="0.25"/>
    <row r="225" spans="3:6" x14ac:dyDescent="0.25"/>
    <row r="226" spans="3:6" x14ac:dyDescent="0.25"/>
    <row r="227" spans="3:6" x14ac:dyDescent="0.25"/>
    <row r="228" spans="3:6" x14ac:dyDescent="0.25"/>
    <row r="229" spans="3:6" x14ac:dyDescent="0.25"/>
    <row r="230" spans="3:6" x14ac:dyDescent="0.25"/>
    <row r="231" spans="3:6" x14ac:dyDescent="0.25"/>
    <row r="232" spans="3:6" x14ac:dyDescent="0.25"/>
    <row r="233" spans="3:6" x14ac:dyDescent="0.25"/>
    <row r="234" spans="3:6" x14ac:dyDescent="0.25"/>
    <row r="235" spans="3:6" x14ac:dyDescent="0.25"/>
    <row r="236" spans="3:6" x14ac:dyDescent="0.25"/>
    <row r="237" spans="3:6" x14ac:dyDescent="0.25"/>
    <row r="238" spans="3:6" x14ac:dyDescent="0.25"/>
    <row r="239" spans="3:6" x14ac:dyDescent="0.25"/>
    <row r="240" spans="3:6" x14ac:dyDescent="0.25"/>
    <row r="241" spans="3:6" x14ac:dyDescent="0.25"/>
    <row r="242" spans="3:6" x14ac:dyDescent="0.25"/>
    <row r="243" spans="3:6" x14ac:dyDescent="0.25"/>
    <row r="244" spans="3:6" x14ac:dyDescent="0.25"/>
    <row r="245" spans="3:6" x14ac:dyDescent="0.25"/>
    <row r="246" spans="3:6" x14ac:dyDescent="0.25"/>
    <row r="247" spans="3:6" x14ac:dyDescent="0.25"/>
    <row r="248" spans="3:6" x14ac:dyDescent="0.25"/>
    <row r="249" spans="3:6" x14ac:dyDescent="0.25"/>
    <row r="250" spans="3:6" x14ac:dyDescent="0.25"/>
    <row r="251" spans="3:6" x14ac:dyDescent="0.25"/>
    <row r="252" spans="3:6" x14ac:dyDescent="0.25"/>
    <row r="253" spans="3:6" x14ac:dyDescent="0.25"/>
    <row r="254" spans="3:6" x14ac:dyDescent="0.25"/>
    <row r="255" spans="3:6" x14ac:dyDescent="0.25"/>
    <row r="256" spans="3:6" x14ac:dyDescent="0.25"/>
    <row r="257" spans="3:6" x14ac:dyDescent="0.25"/>
    <row r="258" spans="3:6" x14ac:dyDescent="0.25"/>
    <row r="259" spans="3:6" x14ac:dyDescent="0.25"/>
    <row r="260" spans="3:6" x14ac:dyDescent="0.25"/>
    <row r="261" spans="3:6" x14ac:dyDescent="0.25"/>
    <row r="262" spans="3:6" x14ac:dyDescent="0.25"/>
    <row r="263" spans="3:6" x14ac:dyDescent="0.25"/>
    <row r="264" spans="3:6" x14ac:dyDescent="0.25"/>
    <row r="265" spans="3:6" x14ac:dyDescent="0.25"/>
    <row r="266" spans="3:6" x14ac:dyDescent="0.25"/>
    <row r="267" spans="3:6" x14ac:dyDescent="0.25"/>
    <row r="268" spans="3:6" x14ac:dyDescent="0.25"/>
    <row r="269" spans="3:6" x14ac:dyDescent="0.25"/>
    <row r="270" spans="3:6" x14ac:dyDescent="0.25"/>
    <row r="271" spans="3:6" x14ac:dyDescent="0.25"/>
    <row r="272" spans="3:6" x14ac:dyDescent="0.25"/>
    <row r="273" spans="3:6" x14ac:dyDescent="0.25"/>
    <row r="274" spans="3:6" x14ac:dyDescent="0.25"/>
    <row r="275" spans="3:6" x14ac:dyDescent="0.25"/>
    <row r="276" spans="3:6" x14ac:dyDescent="0.25"/>
    <row r="277" spans="3:6" x14ac:dyDescent="0.25"/>
    <row r="278" spans="3:6" x14ac:dyDescent="0.25"/>
    <row r="279" spans="3:6" x14ac:dyDescent="0.25"/>
    <row r="280" spans="3:6" x14ac:dyDescent="0.25"/>
    <row r="281" spans="3:6" x14ac:dyDescent="0.25"/>
    <row r="282" spans="3:6" x14ac:dyDescent="0.25"/>
    <row r="283" spans="3:6" x14ac:dyDescent="0.25"/>
    <row r="284" spans="3:6" x14ac:dyDescent="0.25"/>
    <row r="285" spans="3:6" x14ac:dyDescent="0.25"/>
    <row r="286" spans="3:6" x14ac:dyDescent="0.25"/>
    <row r="287" spans="3:6" x14ac:dyDescent="0.25"/>
    <row r="288" spans="3:6" x14ac:dyDescent="0.25"/>
    <row r="289" spans="3:6" x14ac:dyDescent="0.25"/>
    <row r="290" spans="3:6" x14ac:dyDescent="0.25"/>
    <row r="291" spans="3:6" x14ac:dyDescent="0.25"/>
    <row r="292" spans="3:6" x14ac:dyDescent="0.25"/>
    <row r="293" spans="3:6" x14ac:dyDescent="0.25"/>
    <row r="294" spans="3:6" x14ac:dyDescent="0.25"/>
    <row r="295" spans="3:6" x14ac:dyDescent="0.25"/>
    <row r="296" spans="3:6" x14ac:dyDescent="0.25"/>
    <row r="297" spans="3:6" x14ac:dyDescent="0.25"/>
    <row r="298" spans="3:6" x14ac:dyDescent="0.25"/>
    <row r="299" spans="3:6" x14ac:dyDescent="0.25"/>
    <row r="300" spans="3:6" x14ac:dyDescent="0.25"/>
    <row r="301" spans="3:6" x14ac:dyDescent="0.25"/>
    <row r="302" spans="3:6" x14ac:dyDescent="0.25"/>
    <row r="303" spans="3:6" x14ac:dyDescent="0.25"/>
    <row r="304" spans="3:6" x14ac:dyDescent="0.25"/>
    <row r="305" spans="3:6" x14ac:dyDescent="0.25"/>
    <row r="306" spans="3:6" x14ac:dyDescent="0.25"/>
    <row r="307" spans="3:6" x14ac:dyDescent="0.25"/>
    <row r="308" spans="3:6" x14ac:dyDescent="0.25"/>
    <row r="309" spans="3:6" x14ac:dyDescent="0.25"/>
    <row r="310" spans="3:6" x14ac:dyDescent="0.25"/>
    <row r="311" spans="3:6" x14ac:dyDescent="0.25"/>
    <row r="312" spans="3:6" x14ac:dyDescent="0.25"/>
    <row r="313" spans="3:6" x14ac:dyDescent="0.25"/>
    <row r="314" spans="3:6" x14ac:dyDescent="0.25"/>
    <row r="315" spans="3:6" x14ac:dyDescent="0.25"/>
    <row r="316" spans="3:6" x14ac:dyDescent="0.25"/>
    <row r="317" spans="3:6" x14ac:dyDescent="0.25"/>
    <row r="318" spans="3:6" x14ac:dyDescent="0.25"/>
    <row r="319" spans="3:6" x14ac:dyDescent="0.25"/>
    <row r="320" spans="3:6" x14ac:dyDescent="0.25"/>
    <row r="321" spans="3:6" x14ac:dyDescent="0.25"/>
    <row r="322" spans="3:6" x14ac:dyDescent="0.25"/>
    <row r="323" spans="3:6" x14ac:dyDescent="0.25"/>
    <row r="324" spans="3:6" x14ac:dyDescent="0.25"/>
    <row r="325" spans="3:6" x14ac:dyDescent="0.25"/>
    <row r="326" spans="3:6" x14ac:dyDescent="0.25"/>
    <row r="327" spans="3:6" x14ac:dyDescent="0.25"/>
    <row r="328" spans="3:6" x14ac:dyDescent="0.25"/>
    <row r="329" spans="3:6" x14ac:dyDescent="0.25"/>
    <row r="330" spans="3:6" x14ac:dyDescent="0.25"/>
    <row r="331" spans="3:6" x14ac:dyDescent="0.25"/>
    <row r="332" spans="3:6" x14ac:dyDescent="0.25"/>
    <row r="333" spans="3:6" x14ac:dyDescent="0.25"/>
    <row r="334" spans="3:6" x14ac:dyDescent="0.25"/>
    <row r="335" spans="3:6" x14ac:dyDescent="0.25"/>
    <row r="336" spans="3:6" x14ac:dyDescent="0.25"/>
    <row r="337" spans="3:6" x14ac:dyDescent="0.25"/>
    <row r="338" spans="3:6" x14ac:dyDescent="0.25"/>
    <row r="339" spans="3:6" x14ac:dyDescent="0.25"/>
    <row r="340" spans="3:6" x14ac:dyDescent="0.25"/>
    <row r="341" spans="3:6" x14ac:dyDescent="0.25"/>
    <row r="342" spans="3:6" x14ac:dyDescent="0.25"/>
    <row r="343" spans="3:6" x14ac:dyDescent="0.25"/>
    <row r="344" spans="3:6" x14ac:dyDescent="0.25"/>
    <row r="345" spans="3:6" x14ac:dyDescent="0.25"/>
    <row r="346" spans="3:6" x14ac:dyDescent="0.25"/>
    <row r="347" spans="3:6" x14ac:dyDescent="0.25"/>
    <row r="348" spans="3:6" x14ac:dyDescent="0.25"/>
    <row r="349" spans="3:6" x14ac:dyDescent="0.25"/>
    <row r="350" spans="3:6" x14ac:dyDescent="0.25"/>
    <row r="351" spans="3:6" x14ac:dyDescent="0.25"/>
    <row r="352" spans="3:6" x14ac:dyDescent="0.25"/>
    <row r="353" spans="3:6" x14ac:dyDescent="0.25"/>
    <row r="354" spans="3:6" x14ac:dyDescent="0.25"/>
    <row r="355" spans="3:6" x14ac:dyDescent="0.25"/>
    <row r="356" spans="3:6" x14ac:dyDescent="0.25"/>
    <row r="357" spans="3:6" x14ac:dyDescent="0.25"/>
    <row r="358" spans="3:6" x14ac:dyDescent="0.25"/>
    <row r="359" spans="3:6" x14ac:dyDescent="0.25"/>
    <row r="360" spans="3:6" x14ac:dyDescent="0.25"/>
    <row r="361" spans="3:6" x14ac:dyDescent="0.25"/>
    <row r="362" spans="3:6" x14ac:dyDescent="0.25"/>
    <row r="363" spans="3:6" x14ac:dyDescent="0.25"/>
    <row r="364" spans="3:6" x14ac:dyDescent="0.25"/>
    <row r="365" spans="3:6" x14ac:dyDescent="0.25"/>
    <row r="366" spans="3:6" x14ac:dyDescent="0.25"/>
    <row r="367" spans="3:6" x14ac:dyDescent="0.25"/>
    <row r="368" spans="3:6" x14ac:dyDescent="0.25"/>
    <row r="369" spans="3:6" x14ac:dyDescent="0.25"/>
    <row r="370" spans="3:6" x14ac:dyDescent="0.25"/>
    <row r="371" spans="3:6" x14ac:dyDescent="0.25"/>
    <row r="372" spans="3:6" x14ac:dyDescent="0.25"/>
    <row r="373" spans="3:6" x14ac:dyDescent="0.25"/>
    <row r="374" spans="3:6" x14ac:dyDescent="0.25"/>
    <row r="375" spans="3:6" x14ac:dyDescent="0.25"/>
    <row r="376" spans="3:6" x14ac:dyDescent="0.25"/>
    <row r="377" spans="3:6" x14ac:dyDescent="0.25"/>
    <row r="378" spans="3:6" x14ac:dyDescent="0.25"/>
    <row r="379" spans="3:6" x14ac:dyDescent="0.25"/>
    <row r="380" spans="3:6" x14ac:dyDescent="0.25"/>
    <row r="381" spans="3:6" x14ac:dyDescent="0.25"/>
    <row r="382" spans="3:6" x14ac:dyDescent="0.25"/>
    <row r="383" spans="3:6" x14ac:dyDescent="0.25"/>
    <row r="384" spans="3:6" x14ac:dyDescent="0.25"/>
    <row r="385" spans="3:6" x14ac:dyDescent="0.25"/>
    <row r="386" spans="3:6" x14ac:dyDescent="0.25"/>
    <row r="387" spans="3:6" x14ac:dyDescent="0.25"/>
    <row r="388" spans="3:6" x14ac:dyDescent="0.25"/>
    <row r="389" spans="3:6" x14ac:dyDescent="0.25"/>
    <row r="390" spans="3:6" x14ac:dyDescent="0.25"/>
    <row r="391" spans="3:6" x14ac:dyDescent="0.25"/>
    <row r="392" spans="3:6" x14ac:dyDescent="0.25"/>
    <row r="393" spans="3:6" x14ac:dyDescent="0.25"/>
    <row r="394" spans="3:6" x14ac:dyDescent="0.25"/>
    <row r="395" spans="3:6" x14ac:dyDescent="0.25"/>
    <row r="396" spans="3:6" x14ac:dyDescent="0.25"/>
    <row r="397" spans="3:6" x14ac:dyDescent="0.25"/>
    <row r="398" spans="3:6" x14ac:dyDescent="0.25"/>
    <row r="399" spans="3:6" x14ac:dyDescent="0.25"/>
    <row r="400" spans="3:6" x14ac:dyDescent="0.25"/>
    <row r="401" spans="3:6" x14ac:dyDescent="0.25"/>
    <row r="402" spans="3:6" x14ac:dyDescent="0.25"/>
    <row r="403" spans="3:6" x14ac:dyDescent="0.25"/>
    <row r="404" spans="3:6" x14ac:dyDescent="0.25"/>
    <row r="405" spans="3:6" x14ac:dyDescent="0.25"/>
    <row r="406" spans="3:6" x14ac:dyDescent="0.25"/>
    <row r="407" spans="3:6" x14ac:dyDescent="0.25"/>
    <row r="408" spans="3:6" x14ac:dyDescent="0.25"/>
    <row r="409" spans="3:6" x14ac:dyDescent="0.25"/>
    <row r="410" spans="3:6" x14ac:dyDescent="0.25"/>
    <row r="411" spans="3:6" x14ac:dyDescent="0.25"/>
    <row r="412" spans="3:6" x14ac:dyDescent="0.25"/>
    <row r="413" spans="3:6" x14ac:dyDescent="0.25"/>
    <row r="414" spans="3:6" x14ac:dyDescent="0.25"/>
    <row r="415" spans="3:6" x14ac:dyDescent="0.25"/>
    <row r="416" spans="3:6" x14ac:dyDescent="0.25"/>
    <row r="417" spans="3:6" x14ac:dyDescent="0.25"/>
    <row r="418" spans="3:6" x14ac:dyDescent="0.25"/>
    <row r="419" spans="3:6" x14ac:dyDescent="0.25"/>
    <row r="420" spans="3:6" x14ac:dyDescent="0.25"/>
    <row r="421" spans="3:6" x14ac:dyDescent="0.25"/>
    <row r="422" spans="3:6" x14ac:dyDescent="0.25"/>
    <row r="423" spans="3:6" x14ac:dyDescent="0.25"/>
    <row r="424" spans="3:6" x14ac:dyDescent="0.25"/>
    <row r="425" spans="3:6" x14ac:dyDescent="0.25"/>
    <row r="426" spans="3:6" x14ac:dyDescent="0.25"/>
    <row r="427" spans="3:6" x14ac:dyDescent="0.25"/>
    <row r="428" spans="3:6" x14ac:dyDescent="0.25"/>
    <row r="429" spans="3:6" x14ac:dyDescent="0.25"/>
    <row r="430" spans="3:6" x14ac:dyDescent="0.25"/>
    <row r="431" spans="3:6" x14ac:dyDescent="0.25"/>
    <row r="432" spans="3:6" x14ac:dyDescent="0.25"/>
    <row r="433" spans="3:6" x14ac:dyDescent="0.25"/>
    <row r="434" spans="3:6" x14ac:dyDescent="0.25"/>
    <row r="435" spans="3:6" x14ac:dyDescent="0.25"/>
    <row r="436" spans="3:6" x14ac:dyDescent="0.25"/>
    <row r="437" spans="3:6" x14ac:dyDescent="0.25"/>
    <row r="438" spans="3:6" x14ac:dyDescent="0.25"/>
    <row r="439" spans="3:6" x14ac:dyDescent="0.25"/>
    <row r="440" spans="3:6" x14ac:dyDescent="0.25"/>
    <row r="441" spans="3:6" x14ac:dyDescent="0.25"/>
    <row r="442" spans="3:6" x14ac:dyDescent="0.25"/>
    <row r="443" spans="3:6" x14ac:dyDescent="0.25"/>
    <row r="444" spans="3:6" x14ac:dyDescent="0.25"/>
    <row r="445" spans="3:6" x14ac:dyDescent="0.25"/>
    <row r="446" spans="3:6" x14ac:dyDescent="0.25"/>
    <row r="447" spans="3:6" x14ac:dyDescent="0.25"/>
    <row r="448" spans="3:6" x14ac:dyDescent="0.25"/>
    <row r="449" spans="3:6" x14ac:dyDescent="0.25"/>
    <row r="450" spans="3:6" x14ac:dyDescent="0.25"/>
    <row r="451" spans="3:6" x14ac:dyDescent="0.25"/>
    <row r="452" spans="3:6" x14ac:dyDescent="0.25"/>
    <row r="453" spans="3:6" x14ac:dyDescent="0.25"/>
    <row r="454" spans="3:6" x14ac:dyDescent="0.25"/>
    <row r="455" spans="3:6" x14ac:dyDescent="0.25"/>
    <row r="456" spans="3:6" x14ac:dyDescent="0.25"/>
    <row r="457" spans="3:6" x14ac:dyDescent="0.25"/>
    <row r="458" spans="3:6" x14ac:dyDescent="0.25"/>
    <row r="459" spans="3:6" x14ac:dyDescent="0.25"/>
    <row r="460" spans="3:6" x14ac:dyDescent="0.25"/>
    <row r="461" spans="3:6" x14ac:dyDescent="0.25"/>
    <row r="462" spans="3:6" x14ac:dyDescent="0.25"/>
    <row r="463" spans="3:6" x14ac:dyDescent="0.25"/>
    <row r="464" spans="3:6" x14ac:dyDescent="0.25"/>
    <row r="465" spans="3:6" x14ac:dyDescent="0.25"/>
    <row r="466" spans="3:6" x14ac:dyDescent="0.25"/>
    <row r="467" spans="3:6" x14ac:dyDescent="0.25"/>
    <row r="468" spans="3:6" x14ac:dyDescent="0.25"/>
    <row r="469" spans="3:6" x14ac:dyDescent="0.25"/>
    <row r="470" spans="3:6" x14ac:dyDescent="0.25"/>
    <row r="471" spans="3:6" x14ac:dyDescent="0.25"/>
    <row r="472" spans="3:6" x14ac:dyDescent="0.25"/>
    <row r="473" spans="3:6" x14ac:dyDescent="0.25"/>
    <row r="474" spans="3:6" x14ac:dyDescent="0.25"/>
    <row r="475" spans="3:6" x14ac:dyDescent="0.25"/>
    <row r="476" spans="3:6" x14ac:dyDescent="0.25"/>
    <row r="477" spans="3:6" x14ac:dyDescent="0.25"/>
    <row r="478" spans="3:6" x14ac:dyDescent="0.25"/>
    <row r="479" spans="3:6" x14ac:dyDescent="0.25"/>
    <row r="480" spans="3:6" x14ac:dyDescent="0.25"/>
    <row r="481" spans="3:6" x14ac:dyDescent="0.25"/>
    <row r="482" spans="3:6" x14ac:dyDescent="0.25"/>
    <row r="483" spans="3:6" x14ac:dyDescent="0.25"/>
    <row r="484" spans="3:6" x14ac:dyDescent="0.25"/>
    <row r="485" spans="3:6" x14ac:dyDescent="0.25"/>
    <row r="486" spans="3:6" x14ac:dyDescent="0.25"/>
    <row r="487" spans="3:6" x14ac:dyDescent="0.25"/>
    <row r="488" spans="3:6" x14ac:dyDescent="0.25"/>
    <row r="489" spans="3:6" x14ac:dyDescent="0.25"/>
    <row r="490" spans="3:6" x14ac:dyDescent="0.25"/>
    <row r="491" spans="3:6" x14ac:dyDescent="0.25"/>
    <row r="492" spans="3:6" x14ac:dyDescent="0.25"/>
    <row r="493" spans="3:6" x14ac:dyDescent="0.25"/>
    <row r="494" spans="3:6" x14ac:dyDescent="0.25"/>
    <row r="495" spans="3:6" x14ac:dyDescent="0.25"/>
    <row r="496" spans="3:6" x14ac:dyDescent="0.25"/>
    <row r="497" spans="3:6" x14ac:dyDescent="0.25"/>
    <row r="498" spans="3:6" x14ac:dyDescent="0.25"/>
    <row r="499" spans="3:6" x14ac:dyDescent="0.25"/>
    <row r="500" spans="3:6" x14ac:dyDescent="0.25"/>
    <row r="501" spans="3:6" x14ac:dyDescent="0.25"/>
    <row r="502" spans="3:6" x14ac:dyDescent="0.25"/>
    <row r="503" spans="3:6" x14ac:dyDescent="0.25"/>
    <row r="504" spans="3:6" x14ac:dyDescent="0.25"/>
    <row r="505" spans="3:6" x14ac:dyDescent="0.25"/>
    <row r="506" spans="3:6" x14ac:dyDescent="0.25"/>
    <row r="507" spans="3:6" x14ac:dyDescent="0.25"/>
    <row r="508" spans="3:6" x14ac:dyDescent="0.25"/>
    <row r="509" spans="3:6" x14ac:dyDescent="0.25"/>
    <row r="510" spans="3:6" x14ac:dyDescent="0.25"/>
    <row r="511" spans="3:6" x14ac:dyDescent="0.25"/>
    <row r="512" spans="3:6" x14ac:dyDescent="0.25"/>
    <row r="513" spans="3:6" x14ac:dyDescent="0.25"/>
    <row r="514" spans="3:6" x14ac:dyDescent="0.25"/>
    <row r="515" spans="3:6" x14ac:dyDescent="0.25"/>
    <row r="516" spans="3:6" x14ac:dyDescent="0.25"/>
    <row r="517" spans="3:6" x14ac:dyDescent="0.25"/>
    <row r="518" spans="3:6" x14ac:dyDescent="0.25"/>
    <row r="519" spans="3:6" x14ac:dyDescent="0.25"/>
    <row r="520" spans="3:6" x14ac:dyDescent="0.25"/>
    <row r="521" spans="3:6" x14ac:dyDescent="0.25"/>
    <row r="522" spans="3:6" x14ac:dyDescent="0.25"/>
    <row r="523" spans="3:6" x14ac:dyDescent="0.25"/>
    <row r="524" spans="3:6" x14ac:dyDescent="0.25"/>
    <row r="525" spans="3:6" x14ac:dyDescent="0.25"/>
    <row r="526" spans="3:6" x14ac:dyDescent="0.25"/>
    <row r="527" spans="3:6" x14ac:dyDescent="0.25"/>
    <row r="528" spans="3:6" x14ac:dyDescent="0.25"/>
    <row r="529" spans="3:6" x14ac:dyDescent="0.25"/>
    <row r="530" spans="3:6" x14ac:dyDescent="0.25"/>
    <row r="531" spans="3:6" x14ac:dyDescent="0.25"/>
    <row r="532" spans="3:6" x14ac:dyDescent="0.25"/>
    <row r="533" spans="3:6" x14ac:dyDescent="0.25"/>
    <row r="534" spans="3:6" x14ac:dyDescent="0.25"/>
    <row r="535" spans="3:6" x14ac:dyDescent="0.25"/>
    <row r="536" spans="3:6" x14ac:dyDescent="0.25"/>
    <row r="537" spans="3:6" x14ac:dyDescent="0.25"/>
    <row r="538" spans="3:6" x14ac:dyDescent="0.25"/>
    <row r="539" spans="3:6" x14ac:dyDescent="0.25"/>
    <row r="540" spans="3:6" x14ac:dyDescent="0.25"/>
    <row r="541" spans="3:6" x14ac:dyDescent="0.25"/>
    <row r="542" spans="3:6" x14ac:dyDescent="0.25"/>
    <row r="543" spans="3:6" x14ac:dyDescent="0.25"/>
    <row r="544" spans="3:6" x14ac:dyDescent="0.25"/>
    <row r="545" spans="3:6" x14ac:dyDescent="0.25"/>
    <row r="546" spans="3:6" x14ac:dyDescent="0.25"/>
    <row r="547" spans="3:6" x14ac:dyDescent="0.25"/>
    <row r="548" spans="3:6" x14ac:dyDescent="0.25"/>
    <row r="549" spans="3:6" x14ac:dyDescent="0.25"/>
    <row r="550" spans="3:6" x14ac:dyDescent="0.25"/>
    <row r="551" spans="3:6" x14ac:dyDescent="0.25"/>
    <row r="552" spans="3:6" x14ac:dyDescent="0.25"/>
    <row r="553" spans="3:6" x14ac:dyDescent="0.25"/>
    <row r="554" spans="3:6" x14ac:dyDescent="0.25"/>
    <row r="555" spans="3:6" x14ac:dyDescent="0.25"/>
    <row r="556" spans="3:6" x14ac:dyDescent="0.25"/>
    <row r="557" spans="3:6" x14ac:dyDescent="0.25"/>
    <row r="558" spans="3:6" x14ac:dyDescent="0.25"/>
    <row r="559" spans="3:6" x14ac:dyDescent="0.25"/>
    <row r="560" spans="3:6" x14ac:dyDescent="0.25"/>
    <row r="561" spans="3:6" x14ac:dyDescent="0.25"/>
    <row r="562" spans="3:6" x14ac:dyDescent="0.25"/>
    <row r="563" spans="3:6" x14ac:dyDescent="0.25"/>
    <row r="564" spans="3:6" x14ac:dyDescent="0.25"/>
    <row r="565" spans="3:6" x14ac:dyDescent="0.25"/>
    <row r="566" spans="3:6" x14ac:dyDescent="0.25"/>
    <row r="567" spans="3:6" x14ac:dyDescent="0.25"/>
    <row r="568" spans="3:6" x14ac:dyDescent="0.25"/>
    <row r="569" spans="3:6" x14ac:dyDescent="0.25"/>
    <row r="570" spans="3:6" x14ac:dyDescent="0.25"/>
    <row r="571" spans="3:6" x14ac:dyDescent="0.25"/>
    <row r="572" spans="3:6" x14ac:dyDescent="0.25"/>
    <row r="573" spans="3:6" x14ac:dyDescent="0.25"/>
    <row r="574" spans="3:6" x14ac:dyDescent="0.25"/>
    <row r="575" spans="3:6" x14ac:dyDescent="0.25"/>
    <row r="576" spans="3:6" x14ac:dyDescent="0.25"/>
    <row r="577" spans="3:6" x14ac:dyDescent="0.25"/>
    <row r="578" spans="3:6" x14ac:dyDescent="0.25"/>
    <row r="579" spans="3:6" x14ac:dyDescent="0.25"/>
    <row r="580" spans="3:6" x14ac:dyDescent="0.25"/>
    <row r="581" spans="3:6" x14ac:dyDescent="0.25"/>
    <row r="582" spans="3:6" x14ac:dyDescent="0.25"/>
    <row r="583" spans="3:6" x14ac:dyDescent="0.25"/>
    <row r="584" spans="3:6" x14ac:dyDescent="0.25"/>
    <row r="585" spans="3:6" x14ac:dyDescent="0.25"/>
    <row r="586" spans="3:6" x14ac:dyDescent="0.25"/>
    <row r="587" spans="3:6" x14ac:dyDescent="0.25"/>
    <row r="588" spans="3:6" x14ac:dyDescent="0.25"/>
    <row r="589" spans="3:6" x14ac:dyDescent="0.25"/>
    <row r="590" spans="3:6" x14ac:dyDescent="0.25"/>
    <row r="591" spans="3:6" x14ac:dyDescent="0.25"/>
    <row r="592" spans="3:6" x14ac:dyDescent="0.25"/>
    <row r="593" spans="3:6" x14ac:dyDescent="0.25"/>
    <row r="594" spans="3:6" x14ac:dyDescent="0.25"/>
    <row r="595" spans="3:6" x14ac:dyDescent="0.25"/>
    <row r="596" spans="3:6" x14ac:dyDescent="0.25"/>
    <row r="597" spans="3:6" x14ac:dyDescent="0.25"/>
    <row r="598" spans="3:6" x14ac:dyDescent="0.25"/>
    <row r="599" spans="3:6" x14ac:dyDescent="0.25"/>
    <row r="600" spans="3:6" x14ac:dyDescent="0.25"/>
    <row r="601" spans="3:6" x14ac:dyDescent="0.25"/>
    <row r="602" spans="3:6" x14ac:dyDescent="0.25"/>
    <row r="603" spans="3:6" x14ac:dyDescent="0.25"/>
    <row r="604" spans="3:6" x14ac:dyDescent="0.25"/>
    <row r="605" spans="3:6" x14ac:dyDescent="0.25"/>
    <row r="606" spans="3:6" x14ac:dyDescent="0.25"/>
    <row r="607" spans="3:6" x14ac:dyDescent="0.25"/>
    <row r="608" spans="3:6" x14ac:dyDescent="0.25"/>
    <row r="609" spans="3:6" x14ac:dyDescent="0.25"/>
    <row r="610" spans="3:6" x14ac:dyDescent="0.25"/>
    <row r="611" spans="3:6" x14ac:dyDescent="0.25"/>
    <row r="612" spans="3:6" x14ac:dyDescent="0.25"/>
    <row r="613" spans="3:6" x14ac:dyDescent="0.25"/>
    <row r="614" spans="3:6" x14ac:dyDescent="0.25"/>
    <row r="615" spans="3:6" x14ac:dyDescent="0.25"/>
    <row r="616" spans="3:6" x14ac:dyDescent="0.25"/>
    <row r="617" spans="3:6" x14ac:dyDescent="0.25"/>
    <row r="618" spans="3:6" x14ac:dyDescent="0.25"/>
    <row r="619" spans="3:6" x14ac:dyDescent="0.25"/>
    <row r="620" spans="3:6" x14ac:dyDescent="0.25"/>
    <row r="621" spans="3:6" x14ac:dyDescent="0.25"/>
    <row r="622" spans="3:6" x14ac:dyDescent="0.25"/>
    <row r="623" spans="3:6" x14ac:dyDescent="0.25"/>
    <row r="624" spans="3:6" x14ac:dyDescent="0.25"/>
    <row r="625" spans="3:6" x14ac:dyDescent="0.25"/>
    <row r="626" spans="3:6" x14ac:dyDescent="0.25"/>
    <row r="627" spans="3:6" x14ac:dyDescent="0.25"/>
    <row r="628" spans="3:6" x14ac:dyDescent="0.25"/>
    <row r="629" spans="3:6" x14ac:dyDescent="0.25"/>
    <row r="630" spans="3:6" x14ac:dyDescent="0.25"/>
    <row r="631" spans="3:6" x14ac:dyDescent="0.25"/>
    <row r="632" spans="3:6" x14ac:dyDescent="0.25"/>
    <row r="633" spans="3:6" x14ac:dyDescent="0.25"/>
    <row r="634" spans="3:6" x14ac:dyDescent="0.25"/>
    <row r="635" spans="3:6" x14ac:dyDescent="0.25"/>
    <row r="636" spans="3:6" x14ac:dyDescent="0.25"/>
    <row r="637" spans="3:6" x14ac:dyDescent="0.25"/>
    <row r="638" spans="3:6" x14ac:dyDescent="0.25"/>
    <row r="639" spans="3:6" x14ac:dyDescent="0.25"/>
    <row r="640" spans="3:6" x14ac:dyDescent="0.25"/>
    <row r="641" spans="3:6" x14ac:dyDescent="0.25"/>
    <row r="642" spans="3:6" x14ac:dyDescent="0.25"/>
    <row r="643" spans="3:6" x14ac:dyDescent="0.25"/>
    <row r="644" spans="3:6" x14ac:dyDescent="0.25"/>
    <row r="645" spans="3:6" x14ac:dyDescent="0.25"/>
    <row r="646" spans="3:6" x14ac:dyDescent="0.25"/>
    <row r="647" spans="3:6" x14ac:dyDescent="0.25"/>
    <row r="648" spans="3:6" x14ac:dyDescent="0.25"/>
    <row r="649" spans="3:6" x14ac:dyDescent="0.25"/>
    <row r="650" spans="3:6" x14ac:dyDescent="0.25"/>
    <row r="651" spans="3:6" x14ac:dyDescent="0.25"/>
    <row r="652" spans="3:6" x14ac:dyDescent="0.25"/>
    <row r="653" spans="3:6" x14ac:dyDescent="0.25"/>
    <row r="654" spans="3:6" x14ac:dyDescent="0.25"/>
    <row r="655" spans="3:6" x14ac:dyDescent="0.25"/>
    <row r="656" spans="3:6" x14ac:dyDescent="0.25"/>
    <row r="657" spans="3:6" x14ac:dyDescent="0.25"/>
    <row r="658" spans="3:6" x14ac:dyDescent="0.25"/>
    <row r="659" spans="3:6" x14ac:dyDescent="0.25"/>
    <row r="660" spans="3:6" x14ac:dyDescent="0.25"/>
    <row r="661" spans="3:6" x14ac:dyDescent="0.25"/>
    <row r="662" spans="3:6" x14ac:dyDescent="0.25"/>
    <row r="663" spans="3:6" x14ac:dyDescent="0.25"/>
    <row r="664" spans="3:6" x14ac:dyDescent="0.25"/>
    <row r="665" spans="3:6" x14ac:dyDescent="0.25"/>
    <row r="666" spans="3:6" x14ac:dyDescent="0.25"/>
    <row r="667" spans="3:6" x14ac:dyDescent="0.25"/>
    <row r="668" spans="3:6" x14ac:dyDescent="0.25"/>
    <row r="669" spans="3:6" x14ac:dyDescent="0.25"/>
    <row r="670" spans="3:6" x14ac:dyDescent="0.25"/>
    <row r="671" spans="3:6" x14ac:dyDescent="0.25"/>
    <row r="672" spans="3:6" x14ac:dyDescent="0.25"/>
    <row r="673" spans="3:6" x14ac:dyDescent="0.25"/>
    <row r="674" spans="3:6" x14ac:dyDescent="0.25"/>
    <row r="675" spans="3:6" x14ac:dyDescent="0.25"/>
    <row r="676" spans="3:6" x14ac:dyDescent="0.25"/>
    <row r="677" spans="3:6" x14ac:dyDescent="0.25"/>
    <row r="678" spans="3:6" x14ac:dyDescent="0.25"/>
    <row r="679" spans="3:6" x14ac:dyDescent="0.25"/>
    <row r="680" spans="3:6" x14ac:dyDescent="0.25"/>
    <row r="681" spans="3:6" x14ac:dyDescent="0.25"/>
    <row r="682" spans="3:6" x14ac:dyDescent="0.25"/>
    <row r="683" spans="3:6" x14ac:dyDescent="0.25"/>
    <row r="684" spans="3:6" x14ac:dyDescent="0.25"/>
    <row r="685" spans="3:6" x14ac:dyDescent="0.25"/>
    <row r="686" spans="3:6" x14ac:dyDescent="0.25"/>
    <row r="687" spans="3:6" x14ac:dyDescent="0.25"/>
    <row r="688" spans="3:6" x14ac:dyDescent="0.25"/>
    <row r="689" spans="3:6" x14ac:dyDescent="0.25"/>
    <row r="690" spans="3:6" x14ac:dyDescent="0.25"/>
    <row r="691" spans="3:6" x14ac:dyDescent="0.25"/>
    <row r="692" spans="3:6" x14ac:dyDescent="0.25"/>
    <row r="693" spans="3:6" x14ac:dyDescent="0.25"/>
    <row r="694" spans="3:6" x14ac:dyDescent="0.25"/>
    <row r="695" spans="3:6" x14ac:dyDescent="0.25"/>
    <row r="696" spans="3:6" x14ac:dyDescent="0.25"/>
    <row r="697" spans="3:6" x14ac:dyDescent="0.25"/>
    <row r="698" spans="3:6" x14ac:dyDescent="0.25"/>
    <row r="699" spans="3:6" x14ac:dyDescent="0.25"/>
    <row r="700" spans="3:6" x14ac:dyDescent="0.25"/>
    <row r="701" spans="3:6" x14ac:dyDescent="0.25"/>
    <row r="702" spans="3:6" x14ac:dyDescent="0.25"/>
    <row r="703" spans="3:6" x14ac:dyDescent="0.25"/>
    <row r="704" spans="3:6" x14ac:dyDescent="0.25"/>
    <row r="705" spans="3:6" x14ac:dyDescent="0.25"/>
    <row r="706" spans="3:6" x14ac:dyDescent="0.25"/>
    <row r="707" spans="3:6" x14ac:dyDescent="0.25"/>
    <row r="708" spans="3:6" x14ac:dyDescent="0.25"/>
    <row r="709" spans="3:6" x14ac:dyDescent="0.25"/>
    <row r="710" spans="3:6" x14ac:dyDescent="0.25"/>
    <row r="711" spans="3:6" x14ac:dyDescent="0.25"/>
    <row r="712" spans="3:6" x14ac:dyDescent="0.25"/>
    <row r="713" spans="3:6" x14ac:dyDescent="0.25"/>
    <row r="714" spans="3:6" x14ac:dyDescent="0.25"/>
    <row r="715" spans="3:6" x14ac:dyDescent="0.25"/>
    <row r="716" spans="3:6" x14ac:dyDescent="0.25"/>
    <row r="717" spans="3:6" x14ac:dyDescent="0.25"/>
    <row r="718" spans="3:6" x14ac:dyDescent="0.25"/>
    <row r="719" spans="3:6" x14ac:dyDescent="0.25"/>
    <row r="720" spans="3:6" x14ac:dyDescent="0.25"/>
    <row r="721" spans="3:6" x14ac:dyDescent="0.25"/>
    <row r="722" spans="3:6" x14ac:dyDescent="0.25"/>
    <row r="723" spans="3:6" x14ac:dyDescent="0.25"/>
    <row r="724" spans="3:6" x14ac:dyDescent="0.25"/>
    <row r="725" spans="3:6" x14ac:dyDescent="0.25"/>
    <row r="726" spans="3:6" x14ac:dyDescent="0.25"/>
    <row r="727" spans="3:6" x14ac:dyDescent="0.25"/>
    <row r="728" spans="3:6" x14ac:dyDescent="0.25"/>
    <row r="729" spans="3:6" x14ac:dyDescent="0.25"/>
    <row r="730" spans="3:6" x14ac:dyDescent="0.25"/>
    <row r="731" spans="3:6" x14ac:dyDescent="0.25"/>
    <row r="732" spans="3:6" x14ac:dyDescent="0.25"/>
    <row r="733" spans="3:6" x14ac:dyDescent="0.25"/>
    <row r="734" spans="3:6" x14ac:dyDescent="0.25"/>
    <row r="735" spans="3:6" x14ac:dyDescent="0.25"/>
    <row r="736" spans="3:6" x14ac:dyDescent="0.25"/>
    <row r="737" spans="3:6" x14ac:dyDescent="0.25"/>
    <row r="738" spans="3:6" x14ac:dyDescent="0.25"/>
    <row r="739" spans="3:6" x14ac:dyDescent="0.25"/>
    <row r="740" spans="3:6" x14ac:dyDescent="0.25"/>
    <row r="741" spans="3:6" x14ac:dyDescent="0.25"/>
    <row r="742" spans="3:6" x14ac:dyDescent="0.25"/>
    <row r="743" spans="3:6" x14ac:dyDescent="0.25"/>
    <row r="744" spans="3:6" x14ac:dyDescent="0.25"/>
    <row r="745" spans="3:6" x14ac:dyDescent="0.25"/>
    <row r="746" spans="3:6" x14ac:dyDescent="0.25"/>
    <row r="747" spans="3:6" x14ac:dyDescent="0.25"/>
    <row r="748" spans="3:6" x14ac:dyDescent="0.25"/>
    <row r="749" spans="3:6" x14ac:dyDescent="0.25"/>
    <row r="750" spans="3:6" x14ac:dyDescent="0.25"/>
    <row r="751" spans="3:6" x14ac:dyDescent="0.25"/>
    <row r="752" spans="3:6" x14ac:dyDescent="0.25"/>
    <row r="753" spans="3:6" x14ac:dyDescent="0.25"/>
    <row r="754" spans="3:6" x14ac:dyDescent="0.25"/>
    <row r="755" spans="3:6" x14ac:dyDescent="0.25"/>
    <row r="756" spans="3:6" x14ac:dyDescent="0.25"/>
    <row r="757" spans="3:6" x14ac:dyDescent="0.25"/>
    <row r="758" spans="3:6" x14ac:dyDescent="0.25"/>
    <row r="759" spans="3:6" x14ac:dyDescent="0.25"/>
    <row r="760" spans="3:6" x14ac:dyDescent="0.25"/>
    <row r="761" spans="3:6" x14ac:dyDescent="0.25"/>
    <row r="762" spans="3:6" x14ac:dyDescent="0.25"/>
    <row r="763" spans="3:6" x14ac:dyDescent="0.25"/>
    <row r="764" spans="3:6" x14ac:dyDescent="0.25"/>
    <row r="765" spans="3:6" x14ac:dyDescent="0.25"/>
    <row r="766" spans="3:6" x14ac:dyDescent="0.25"/>
    <row r="767" spans="3:6" x14ac:dyDescent="0.25"/>
    <row r="768" spans="3:6" x14ac:dyDescent="0.25"/>
    <row r="769" spans="3:6" x14ac:dyDescent="0.25"/>
    <row r="770" spans="3:6" x14ac:dyDescent="0.25"/>
    <row r="771" spans="3:6" x14ac:dyDescent="0.25"/>
    <row r="772" spans="3:6" x14ac:dyDescent="0.25"/>
    <row r="773" spans="3:6" x14ac:dyDescent="0.25"/>
    <row r="774" spans="3:6" x14ac:dyDescent="0.25"/>
    <row r="775" spans="3:6" x14ac:dyDescent="0.25"/>
    <row r="776" spans="3:6" x14ac:dyDescent="0.25"/>
    <row r="777" spans="3:6" x14ac:dyDescent="0.25"/>
    <row r="778" spans="3:6" x14ac:dyDescent="0.25"/>
    <row r="779" spans="3:6" x14ac:dyDescent="0.25"/>
    <row r="780" spans="3:6" x14ac:dyDescent="0.25"/>
    <row r="781" spans="3:6" x14ac:dyDescent="0.25"/>
    <row r="782" spans="3:6" x14ac:dyDescent="0.25"/>
    <row r="783" spans="3:6" x14ac:dyDescent="0.25"/>
    <row r="784" spans="3:6" x14ac:dyDescent="0.25"/>
    <row r="785" spans="3:6" x14ac:dyDescent="0.25"/>
    <row r="786" spans="3:6" x14ac:dyDescent="0.25"/>
    <row r="787" spans="3:6" x14ac:dyDescent="0.25"/>
    <row r="788" spans="3:6" x14ac:dyDescent="0.25"/>
    <row r="789" spans="3:6" x14ac:dyDescent="0.25"/>
    <row r="790" spans="3:6" x14ac:dyDescent="0.25"/>
    <row r="791" spans="3:6" x14ac:dyDescent="0.25"/>
    <row r="792" spans="3:6" x14ac:dyDescent="0.25"/>
    <row r="793" spans="3:6" x14ac:dyDescent="0.25"/>
    <row r="794" spans="3:6" x14ac:dyDescent="0.25"/>
    <row r="795" spans="3:6" x14ac:dyDescent="0.25"/>
    <row r="796" spans="3:6" x14ac:dyDescent="0.25"/>
    <row r="797" spans="3:6" x14ac:dyDescent="0.25"/>
    <row r="798" spans="3:6" x14ac:dyDescent="0.25"/>
    <row r="799" spans="3:6" x14ac:dyDescent="0.25"/>
    <row r="800" spans="3:6" x14ac:dyDescent="0.25"/>
    <row r="801" spans="3:6" x14ac:dyDescent="0.25"/>
    <row r="802" spans="3:6" x14ac:dyDescent="0.25"/>
    <row r="803" spans="3:6" x14ac:dyDescent="0.25"/>
    <row r="804" spans="3:6" x14ac:dyDescent="0.25"/>
    <row r="805" spans="3:6" x14ac:dyDescent="0.25"/>
    <row r="806" spans="3:6" x14ac:dyDescent="0.25"/>
    <row r="807" spans="3:6" x14ac:dyDescent="0.25"/>
    <row r="808" spans="3:6" x14ac:dyDescent="0.25"/>
    <row r="809" spans="3:6" x14ac:dyDescent="0.25"/>
    <row r="810" spans="3:6" x14ac:dyDescent="0.25"/>
    <row r="811" spans="3:6" x14ac:dyDescent="0.25"/>
    <row r="812" spans="3:6" x14ac:dyDescent="0.25"/>
    <row r="813" spans="3:6" x14ac:dyDescent="0.25"/>
    <row r="814" spans="3:6" x14ac:dyDescent="0.25"/>
    <row r="815" spans="3:6" x14ac:dyDescent="0.25"/>
    <row r="816" spans="3:6" x14ac:dyDescent="0.25"/>
    <row r="817" spans="3:6" x14ac:dyDescent="0.25"/>
    <row r="818" spans="3:6" x14ac:dyDescent="0.25"/>
    <row r="819" spans="3:6" x14ac:dyDescent="0.25"/>
    <row r="820" spans="3:6" x14ac:dyDescent="0.25"/>
    <row r="821" spans="3:6" x14ac:dyDescent="0.25"/>
    <row r="822" spans="3:6" x14ac:dyDescent="0.25"/>
    <row r="823" spans="3:6" x14ac:dyDescent="0.25"/>
    <row r="824" spans="3:6" x14ac:dyDescent="0.25"/>
    <row r="825" spans="3:6" x14ac:dyDescent="0.25"/>
    <row r="826" spans="3:6" x14ac:dyDescent="0.25"/>
    <row r="827" spans="3:6" x14ac:dyDescent="0.25"/>
    <row r="828" spans="3:6" x14ac:dyDescent="0.25"/>
    <row r="829" spans="3:6" x14ac:dyDescent="0.25"/>
    <row r="830" spans="3:6" x14ac:dyDescent="0.25"/>
    <row r="831" spans="3:6" x14ac:dyDescent="0.25"/>
    <row r="832" spans="3:6" x14ac:dyDescent="0.25"/>
    <row r="833" spans="3:6" x14ac:dyDescent="0.25"/>
    <row r="834" spans="3:6" x14ac:dyDescent="0.25"/>
    <row r="835" spans="3:6" x14ac:dyDescent="0.25"/>
    <row r="836" spans="3:6" x14ac:dyDescent="0.25"/>
    <row r="837" spans="3:6" x14ac:dyDescent="0.25"/>
    <row r="838" spans="3:6" x14ac:dyDescent="0.25"/>
    <row r="839" spans="3:6" x14ac:dyDescent="0.25"/>
    <row r="840" spans="3:6" x14ac:dyDescent="0.25"/>
    <row r="841" spans="3:6" x14ac:dyDescent="0.25"/>
    <row r="842" spans="3:6" x14ac:dyDescent="0.25"/>
    <row r="843" spans="3:6" x14ac:dyDescent="0.25"/>
    <row r="844" spans="3:6" x14ac:dyDescent="0.25"/>
    <row r="845" spans="3:6" x14ac:dyDescent="0.25"/>
    <row r="846" spans="3:6" x14ac:dyDescent="0.25"/>
    <row r="847" spans="3:6" x14ac:dyDescent="0.25"/>
    <row r="848" spans="3:6" x14ac:dyDescent="0.25"/>
    <row r="849" spans="3:6" x14ac:dyDescent="0.25"/>
    <row r="850" spans="3:6" x14ac:dyDescent="0.25"/>
    <row r="851" spans="3:6" x14ac:dyDescent="0.25"/>
    <row r="852" spans="3:6" x14ac:dyDescent="0.25"/>
    <row r="853" spans="3:6" x14ac:dyDescent="0.25"/>
    <row r="854" spans="3:6" x14ac:dyDescent="0.25"/>
    <row r="855" spans="3:6" x14ac:dyDescent="0.25"/>
    <row r="856" spans="3:6" x14ac:dyDescent="0.25"/>
    <row r="857" spans="3:6" x14ac:dyDescent="0.25"/>
    <row r="858" spans="3:6" x14ac:dyDescent="0.25"/>
    <row r="859" spans="3:6" x14ac:dyDescent="0.25"/>
    <row r="860" spans="3:6" x14ac:dyDescent="0.25"/>
    <row r="861" spans="3:6" x14ac:dyDescent="0.25"/>
    <row r="862" spans="3:6" x14ac:dyDescent="0.25"/>
    <row r="863" spans="3:6" x14ac:dyDescent="0.25"/>
    <row r="864" spans="3:6" x14ac:dyDescent="0.25"/>
    <row r="865" spans="3:6" x14ac:dyDescent="0.25"/>
    <row r="866" spans="3:6" x14ac:dyDescent="0.25"/>
    <row r="867" spans="3:6" x14ac:dyDescent="0.25"/>
    <row r="868" spans="3:6" x14ac:dyDescent="0.25"/>
    <row r="869" spans="3:6" x14ac:dyDescent="0.25"/>
    <row r="870" spans="3:6" x14ac:dyDescent="0.25"/>
    <row r="871" spans="3:6" x14ac:dyDescent="0.25"/>
    <row r="872" spans="3:6" x14ac:dyDescent="0.25"/>
    <row r="873" spans="3:6" x14ac:dyDescent="0.25"/>
    <row r="874" spans="3:6" x14ac:dyDescent="0.25"/>
    <row r="875" spans="3:6" x14ac:dyDescent="0.25"/>
    <row r="876" spans="3:6" x14ac:dyDescent="0.25"/>
    <row r="877" spans="3:6" x14ac:dyDescent="0.25"/>
    <row r="878" spans="3:6" x14ac:dyDescent="0.25"/>
    <row r="879" spans="3:6" x14ac:dyDescent="0.25"/>
    <row r="880" spans="3:6" x14ac:dyDescent="0.25"/>
    <row r="881" spans="3:6" x14ac:dyDescent="0.25"/>
    <row r="882" spans="3:6" x14ac:dyDescent="0.25"/>
    <row r="883" spans="3:6" x14ac:dyDescent="0.25"/>
    <row r="884" spans="3:6" x14ac:dyDescent="0.25"/>
    <row r="885" spans="3:6" x14ac:dyDescent="0.25"/>
    <row r="886" spans="3:6" x14ac:dyDescent="0.25"/>
    <row r="887" spans="3:6" x14ac:dyDescent="0.25"/>
    <row r="888" spans="3:6" x14ac:dyDescent="0.25"/>
    <row r="889" spans="3:6" x14ac:dyDescent="0.25"/>
    <row r="890" spans="3:6" x14ac:dyDescent="0.25"/>
    <row r="891" spans="3:6" x14ac:dyDescent="0.25"/>
    <row r="892" spans="3:6" x14ac:dyDescent="0.25"/>
    <row r="893" spans="3:6" x14ac:dyDescent="0.25"/>
    <row r="894" spans="3:6" x14ac:dyDescent="0.25"/>
    <row r="895" spans="3:6" x14ac:dyDescent="0.25"/>
    <row r="896" spans="3:6" x14ac:dyDescent="0.25"/>
    <row r="897" spans="3:6" x14ac:dyDescent="0.25"/>
    <row r="898" spans="3:6" x14ac:dyDescent="0.25"/>
    <row r="899" spans="3:6" x14ac:dyDescent="0.25"/>
    <row r="900" spans="3:6" x14ac:dyDescent="0.25"/>
    <row r="901" spans="3:6" x14ac:dyDescent="0.25"/>
    <row r="902" spans="3:6" x14ac:dyDescent="0.25"/>
    <row r="903" spans="3:6" x14ac:dyDescent="0.25"/>
    <row r="904" spans="3:6" x14ac:dyDescent="0.25"/>
    <row r="905" spans="3:6" x14ac:dyDescent="0.25"/>
    <row r="906" spans="3:6" x14ac:dyDescent="0.25"/>
    <row r="907" spans="3:6" x14ac:dyDescent="0.25"/>
    <row r="908" spans="3:6" x14ac:dyDescent="0.25"/>
    <row r="909" spans="3:6" x14ac:dyDescent="0.25"/>
    <row r="910" spans="3:6" x14ac:dyDescent="0.25"/>
    <row r="911" spans="3:6" x14ac:dyDescent="0.25"/>
    <row r="912" spans="3:6" x14ac:dyDescent="0.25"/>
    <row r="913" spans="3:6" x14ac:dyDescent="0.25"/>
    <row r="914" spans="3:6" x14ac:dyDescent="0.25"/>
    <row r="915" spans="3:6" x14ac:dyDescent="0.25"/>
    <row r="916" spans="3:6" x14ac:dyDescent="0.25"/>
    <row r="917" spans="3:6" x14ac:dyDescent="0.25"/>
    <row r="918" spans="3:6" x14ac:dyDescent="0.25"/>
    <row r="919" spans="3:6" x14ac:dyDescent="0.25"/>
    <row r="920" spans="3:6" x14ac:dyDescent="0.25"/>
    <row r="921" spans="3:6" x14ac:dyDescent="0.25"/>
    <row r="922" spans="3:6" x14ac:dyDescent="0.25"/>
    <row r="923" spans="3:6" x14ac:dyDescent="0.25"/>
    <row r="924" spans="3:6" x14ac:dyDescent="0.25"/>
    <row r="925" spans="3:6" x14ac:dyDescent="0.25"/>
    <row r="926" spans="3:6" x14ac:dyDescent="0.25"/>
    <row r="927" spans="3:6" x14ac:dyDescent="0.25"/>
    <row r="928" spans="3:6" x14ac:dyDescent="0.25"/>
    <row r="929" spans="3:6" x14ac:dyDescent="0.25"/>
    <row r="930" spans="3:6" x14ac:dyDescent="0.25"/>
    <row r="931" spans="3:6" x14ac:dyDescent="0.25"/>
    <row r="932" spans="3:6" x14ac:dyDescent="0.25"/>
    <row r="933" spans="3:6" x14ac:dyDescent="0.25"/>
    <row r="934" spans="3:6" x14ac:dyDescent="0.25"/>
    <row r="935" spans="3:6" x14ac:dyDescent="0.25"/>
    <row r="936" spans="3:6" x14ac:dyDescent="0.25"/>
    <row r="937" spans="3:6" x14ac:dyDescent="0.25"/>
    <row r="938" spans="3:6" x14ac:dyDescent="0.25"/>
    <row r="939" spans="3:6" x14ac:dyDescent="0.25"/>
    <row r="940" spans="3:6" x14ac:dyDescent="0.25"/>
    <row r="941" spans="3:6" x14ac:dyDescent="0.25"/>
    <row r="942" spans="3:6" x14ac:dyDescent="0.25"/>
    <row r="943" spans="3:6" x14ac:dyDescent="0.25"/>
    <row r="944" spans="3:6" x14ac:dyDescent="0.25"/>
    <row r="945" spans="3:6" x14ac:dyDescent="0.25"/>
    <row r="946" spans="3:6" x14ac:dyDescent="0.25"/>
    <row r="947" spans="3:6" x14ac:dyDescent="0.25"/>
    <row r="948" spans="3:6" x14ac:dyDescent="0.25"/>
    <row r="949" spans="3:6" x14ac:dyDescent="0.25"/>
    <row r="950" spans="3:6" x14ac:dyDescent="0.25"/>
    <row r="951" spans="3:6" x14ac:dyDescent="0.25"/>
    <row r="952" spans="3:6" x14ac:dyDescent="0.25"/>
    <row r="953" spans="3:6" x14ac:dyDescent="0.25"/>
    <row r="954" spans="3:6" x14ac:dyDescent="0.25"/>
    <row r="955" spans="3:6" x14ac:dyDescent="0.25"/>
    <row r="956" spans="3:6" x14ac:dyDescent="0.25"/>
    <row r="957" spans="3:6" x14ac:dyDescent="0.25"/>
    <row r="958" spans="3:6" x14ac:dyDescent="0.25"/>
    <row r="959" spans="3:6" x14ac:dyDescent="0.25"/>
    <row r="960" spans="3:6" x14ac:dyDescent="0.25"/>
    <row r="961" spans="3:6" x14ac:dyDescent="0.25"/>
    <row r="962" spans="3:6" x14ac:dyDescent="0.25"/>
    <row r="963" spans="3:6" x14ac:dyDescent="0.25"/>
    <row r="964" spans="3:6" x14ac:dyDescent="0.25"/>
    <row r="965" spans="3:6" x14ac:dyDescent="0.25"/>
    <row r="966" spans="3:6" x14ac:dyDescent="0.25"/>
    <row r="967" spans="3:6" x14ac:dyDescent="0.25"/>
    <row r="968" spans="3:6" x14ac:dyDescent="0.25"/>
    <row r="969" spans="3:6" x14ac:dyDescent="0.25"/>
    <row r="970" spans="3:6" x14ac:dyDescent="0.25"/>
    <row r="971" spans="3:6" x14ac:dyDescent="0.25"/>
    <row r="972" spans="3:6" x14ac:dyDescent="0.25"/>
    <row r="973" spans="3:6" x14ac:dyDescent="0.25"/>
    <row r="974" spans="3:6" x14ac:dyDescent="0.25"/>
    <row r="975" spans="3:6" x14ac:dyDescent="0.25"/>
    <row r="976" spans="3:6" x14ac:dyDescent="0.25"/>
    <row r="977" spans="3:6" x14ac:dyDescent="0.25"/>
    <row r="978" spans="3:6" x14ac:dyDescent="0.25"/>
    <row r="979" spans="3:6" x14ac:dyDescent="0.25"/>
    <row r="980" spans="3:6" x14ac:dyDescent="0.25"/>
    <row r="981" spans="3:6" x14ac:dyDescent="0.25"/>
    <row r="982" spans="3:6" x14ac:dyDescent="0.25"/>
    <row r="983" spans="3:6" x14ac:dyDescent="0.25"/>
    <row r="984" spans="3:6" x14ac:dyDescent="0.25"/>
    <row r="985" spans="3:6" x14ac:dyDescent="0.25"/>
    <row r="986" spans="3:6" x14ac:dyDescent="0.25"/>
    <row r="987" spans="3:6" x14ac:dyDescent="0.25"/>
    <row r="988" spans="3:6" x14ac:dyDescent="0.25"/>
    <row r="989" spans="3:6" x14ac:dyDescent="0.25"/>
    <row r="990" spans="3:6" x14ac:dyDescent="0.25"/>
    <row r="991" spans="3:6" x14ac:dyDescent="0.25"/>
    <row r="992" spans="3:6" x14ac:dyDescent="0.25"/>
    <row r="993" spans="3:6" x14ac:dyDescent="0.25"/>
    <row r="994" spans="3:6" x14ac:dyDescent="0.25"/>
    <row r="995" spans="3:6" x14ac:dyDescent="0.25"/>
    <row r="996" spans="3:6" x14ac:dyDescent="0.25"/>
    <row r="997" spans="3:6" x14ac:dyDescent="0.25"/>
    <row r="998" spans="3:6" x14ac:dyDescent="0.25"/>
    <row r="999" spans="3:6" x14ac:dyDescent="0.25"/>
    <row r="1000" spans="3:6" x14ac:dyDescent="0.25"/>
    <row r="1001" spans="3:6" x14ac:dyDescent="0.25"/>
  </sheetData>
  <autoFilter ref="A1:F1"/>
  <dataValidations count="6">
    <dataValidation type="list" allowBlank="1" showErrorMessage="1" sqref="C10:C1001">
      <formula1>Listas!$B$2:$B$20</formula1>
    </dataValidation>
    <dataValidation type="list" allowBlank="1" showErrorMessage="1" sqref="C2:C1001">
      <formula1>Listas!$B$2:$B$20</formula1>
    </dataValidation>
    <dataValidation type="list" allowBlank="1" showErrorMessage="1" sqref="D10:D1001">
      <formula1>Listas!$A$2:$A$3</formula1>
    </dataValidation>
    <dataValidation type="list" allowBlank="1" showErrorMessage="1" sqref="D2:D1001">
      <formula1>Listas!$A$2:$A$3</formula1>
    </dataValidation>
    <dataValidation type="list" allowBlank="1" showErrorMessage="1" sqref="F10:F1001">
      <formula1>Listas!$C$2:$C$7</formula1>
    </dataValidation>
    <dataValidation type="list" allowBlank="1" showErrorMessage="1" sqref="F2:F1001">
      <formula1>Listas!$C$2:$C$7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J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16" style="6" customWidth="1"/>
    <col min="4" max="4" width="14" style="16" customWidth="1"/>
    <col min="5" max="5" width="18" style="7" customWidth="1"/>
    <col min="6" max="6" width="16" style="6" customWidth="1"/>
    <col min="7" max="7" width="10" customWidth="1"/>
    <col min="8" max="8" width="11" customWidth="1"/>
    <col min="9" max="9" width="18" style="6" customWidth="1"/>
    <col min="10" max="10" width="36" customWidth="1"/>
  </cols>
  <sheetData>
    <row r="1" ht="22" customHeight="1" spans="1:10" s="13" customFormat="1" x14ac:dyDescent="0.25">
      <c r="A1" s="13" t="s">
        <v>40</v>
      </c>
      <c r="B1" s="13" t="s">
        <v>37</v>
      </c>
      <c r="C1" s="15" t="s">
        <v>41</v>
      </c>
      <c r="D1" s="17" t="s">
        <v>42</v>
      </c>
      <c r="E1" s="18" t="s">
        <v>43</v>
      </c>
      <c r="F1" s="15" t="s">
        <v>44</v>
      </c>
      <c r="G1" s="13" t="s">
        <v>45</v>
      </c>
      <c r="H1" s="13" t="s">
        <v>46</v>
      </c>
      <c r="I1" s="15" t="s">
        <v>47</v>
      </c>
      <c r="J1" s="13" t="s">
        <v>48</v>
      </c>
    </row>
    <row r="2" spans="2:9" x14ac:dyDescent="0.25">
      <c r="E2" s="7">
        <f>IF(D2="","",(1+D2/100)^12-1)</f>
      </c>
      <c r="I2" s="6">
        <f>IF(C2="","",C2*D2/100)</f>
      </c>
    </row>
    <row r="3" spans="2:9" x14ac:dyDescent="0.25">
      <c r="E3" s="7">
        <f>IF(D3="","",(1+D3/100)^12-1)</f>
      </c>
      <c r="I3" s="6">
        <f>IF(C3="","",C3*D3/100)</f>
      </c>
    </row>
    <row r="4" spans="2:9" x14ac:dyDescent="0.25">
      <c r="E4" s="7">
        <f>IF(D4="","",(1+D4/100)^12-1)</f>
      </c>
      <c r="I4" s="6">
        <f>IF(C4="","",C4*D4/100)</f>
      </c>
    </row>
    <row r="5" spans="2:9" x14ac:dyDescent="0.25">
      <c r="E5" s="7">
        <f>IF(D5="","",(1+D5/100)^12-1)</f>
      </c>
      <c r="I5" s="6">
        <f>IF(C5="","",C5*D5/100)</f>
      </c>
    </row>
    <row r="6" spans="2:9" x14ac:dyDescent="0.25">
      <c r="E6" s="7">
        <f>IF(D6="","",(1+D6/100)^12-1)</f>
      </c>
      <c r="I6" s="6">
        <f>IF(C6="","",C6*D6/100)</f>
      </c>
    </row>
    <row r="7" spans="2:9" x14ac:dyDescent="0.25">
      <c r="E7" s="7">
        <f>IF(D7="","",(1+D7/100)^12-1)</f>
      </c>
      <c r="I7" s="6">
        <f>IF(C7="","",C7*D7/100)</f>
      </c>
    </row>
    <row r="8" spans="2:9" x14ac:dyDescent="0.25">
      <c r="E8" s="7">
        <f>IF(D8="","",(1+D8/100)^12-1)</f>
      </c>
      <c r="I8" s="6">
        <f>IF(C8="","",C8*D8/100)</f>
      </c>
    </row>
    <row r="9" spans="2:9" x14ac:dyDescent="0.25">
      <c r="E9" s="7">
        <f>IF(D9="","",(1+D9/100)^12-1)</f>
      </c>
      <c r="I9" s="6">
        <f>IF(C9="","",C9*D9/100)</f>
      </c>
    </row>
    <row r="10" spans="2:9" x14ac:dyDescent="0.25">
      <c r="E10" s="7">
        <f>IF(D10="","",(1+D10/100)^12-1)</f>
      </c>
      <c r="I10" s="6">
        <f>IF(C10="","",C10*D10/100)</f>
      </c>
    </row>
    <row r="11" spans="2:9" x14ac:dyDescent="0.25">
      <c r="E11" s="7">
        <f>IF(D11="","",(1+D11/100)^12-1)</f>
      </c>
      <c r="I11" s="6">
        <f>IF(C11="","",C11*D11/100)</f>
      </c>
    </row>
    <row r="12" spans="2:9" x14ac:dyDescent="0.25">
      <c r="E12" s="7">
        <f>IF(D12="","",(1+D12/100)^12-1)</f>
      </c>
      <c r="I12" s="6">
        <f>IF(C12="","",C12*D12/100)</f>
      </c>
    </row>
    <row r="13" spans="2:9" x14ac:dyDescent="0.25">
      <c r="E13" s="7">
        <f>IF(D13="","",(1+D13/100)^12-1)</f>
      </c>
      <c r="I13" s="6">
        <f>IF(C13="","",C13*D13/100)</f>
      </c>
    </row>
    <row r="14" spans="2:9" x14ac:dyDescent="0.25">
      <c r="E14" s="7">
        <f>IF(D14="","",(1+D14/100)^12-1)</f>
      </c>
      <c r="I14" s="6">
        <f>IF(C14="","",C14*D14/100)</f>
      </c>
    </row>
    <row r="15" spans="2:9" x14ac:dyDescent="0.25">
      <c r="E15" s="7">
        <f>IF(D15="","",(1+D15/100)^12-1)</f>
      </c>
      <c r="I15" s="6">
        <f>IF(C15="","",C15*D15/100)</f>
      </c>
    </row>
    <row r="16" spans="2:9" x14ac:dyDescent="0.25">
      <c r="E16" s="7">
        <f>IF(D16="","",(1+D16/100)^12-1)</f>
      </c>
      <c r="I16" s="6">
        <f>IF(C16="","",C16*D16/100)</f>
      </c>
    </row>
    <row r="17" spans="2:9" x14ac:dyDescent="0.25">
      <c r="E17" s="7">
        <f>IF(D17="","",(1+D17/100)^12-1)</f>
      </c>
      <c r="I17" s="6">
        <f>IF(C17="","",C17*D17/100)</f>
      </c>
    </row>
    <row r="18" spans="2:9" x14ac:dyDescent="0.25">
      <c r="E18" s="7">
        <f>IF(D18="","",(1+D18/100)^12-1)</f>
      </c>
      <c r="I18" s="6">
        <f>IF(C18="","",C18*D18/100)</f>
      </c>
    </row>
    <row r="19" spans="2:9" x14ac:dyDescent="0.25">
      <c r="E19" s="7">
        <f>IF(D19="","",(1+D19/100)^12-1)</f>
      </c>
      <c r="I19" s="6">
        <f>IF(C19="","",C19*D19/100)</f>
      </c>
    </row>
    <row r="20" spans="2:9" x14ac:dyDescent="0.25">
      <c r="E20" s="7">
        <f>IF(D20="","",(1+D20/100)^12-1)</f>
      </c>
      <c r="I20" s="6">
        <f>IF(C20="","",C20*D20/100)</f>
      </c>
    </row>
    <row r="21" spans="2:9" x14ac:dyDescent="0.25">
      <c r="E21" s="7">
        <f>IF(D21="","",(1+D21/100)^12-1)</f>
      </c>
      <c r="I21" s="6">
        <f>IF(C21="","",C21*D21/100)</f>
      </c>
    </row>
    <row r="22" spans="2:9" x14ac:dyDescent="0.25">
      <c r="E22" s="7">
        <f>IF(D22="","",(1+D22/100)^12-1)</f>
      </c>
      <c r="I22" s="6">
        <f>IF(C22="","",C22*D22/100)</f>
      </c>
    </row>
    <row r="23" spans="2:9" x14ac:dyDescent="0.25">
      <c r="E23" s="7">
        <f>IF(D23="","",(1+D23/100)^12-1)</f>
      </c>
      <c r="I23" s="6">
        <f>IF(C23="","",C23*D23/100)</f>
      </c>
    </row>
    <row r="24" spans="2:9" x14ac:dyDescent="0.25">
      <c r="E24" s="7">
        <f>IF(D24="","",(1+D24/100)^12-1)</f>
      </c>
      <c r="I24" s="6">
        <f>IF(C24="","",C24*D24/100)</f>
      </c>
    </row>
    <row r="25" spans="2:9" x14ac:dyDescent="0.25">
      <c r="E25" s="7">
        <f>IF(D25="","",(1+D25/100)^12-1)</f>
      </c>
      <c r="I25" s="6">
        <f>IF(C25="","",C25*D25/100)</f>
      </c>
    </row>
    <row r="26" spans="2:9" x14ac:dyDescent="0.25">
      <c r="E26" s="7">
        <f>IF(D26="","",(1+D26/100)^12-1)</f>
      </c>
      <c r="I26" s="6">
        <f>IF(C26="","",C26*D26/100)</f>
      </c>
    </row>
    <row r="27" spans="2:9" x14ac:dyDescent="0.25">
      <c r="E27" s="7">
        <f>IF(D27="","",(1+D27/100)^12-1)</f>
      </c>
      <c r="I27" s="6">
        <f>IF(C27="","",C27*D27/100)</f>
      </c>
    </row>
    <row r="28" spans="2:9" x14ac:dyDescent="0.25">
      <c r="E28" s="7">
        <f>IF(D28="","",(1+D28/100)^12-1)</f>
      </c>
      <c r="I28" s="6">
        <f>IF(C28="","",C28*D28/100)</f>
      </c>
    </row>
    <row r="29" spans="2:9" x14ac:dyDescent="0.25">
      <c r="E29" s="7">
        <f>IF(D29="","",(1+D29/100)^12-1)</f>
      </c>
      <c r="I29" s="6">
        <f>IF(C29="","",C29*D29/100)</f>
      </c>
    </row>
    <row r="30" spans="2:9" x14ac:dyDescent="0.25">
      <c r="E30" s="7">
        <f>IF(D30="","",(1+D30/100)^12-1)</f>
      </c>
      <c r="I30" s="6">
        <f>IF(C30="","",C30*D30/100)</f>
      </c>
    </row>
    <row r="31" spans="2:9" x14ac:dyDescent="0.25">
      <c r="E31" s="7">
        <f>IF(D31="","",(1+D31/100)^12-1)</f>
      </c>
      <c r="I31" s="6">
        <f>IF(C31="","",C31*D31/100)</f>
      </c>
    </row>
    <row r="32" spans="2:9" x14ac:dyDescent="0.25">
      <c r="E32" s="7">
        <f>IF(D32="","",(1+D32/100)^12-1)</f>
      </c>
      <c r="I32" s="6">
        <f>IF(C32="","",C32*D32/100)</f>
      </c>
    </row>
    <row r="33" spans="2:9" x14ac:dyDescent="0.25">
      <c r="E33" s="7">
        <f>IF(D33="","",(1+D33/100)^12-1)</f>
      </c>
      <c r="I33" s="6">
        <f>IF(C33="","",C33*D33/100)</f>
      </c>
    </row>
    <row r="34" spans="2:9" x14ac:dyDescent="0.25">
      <c r="E34" s="7">
        <f>IF(D34="","",(1+D34/100)^12-1)</f>
      </c>
      <c r="I34" s="6">
        <f>IF(C34="","",C34*D34/100)</f>
      </c>
    </row>
    <row r="35" spans="2:9" x14ac:dyDescent="0.25">
      <c r="E35" s="7">
        <f>IF(D35="","",(1+D35/100)^12-1)</f>
      </c>
      <c r="I35" s="6">
        <f>IF(C35="","",C35*D35/100)</f>
      </c>
    </row>
    <row r="36" spans="2:9" x14ac:dyDescent="0.25">
      <c r="E36" s="7">
        <f>IF(D36="","",(1+D36/100)^12-1)</f>
      </c>
      <c r="I36" s="6">
        <f>IF(C36="","",C36*D36/100)</f>
      </c>
    </row>
    <row r="37" spans="2:9" x14ac:dyDescent="0.25">
      <c r="E37" s="7">
        <f>IF(D37="","",(1+D37/100)^12-1)</f>
      </c>
      <c r="I37" s="6">
        <f>IF(C37="","",C37*D37/100)</f>
      </c>
    </row>
    <row r="38" spans="2:9" x14ac:dyDescent="0.25">
      <c r="E38" s="7">
        <f>IF(D38="","",(1+D38/100)^12-1)</f>
      </c>
      <c r="I38" s="6">
        <f>IF(C38="","",C38*D38/100)</f>
      </c>
    </row>
    <row r="39" spans="2:9" x14ac:dyDescent="0.25">
      <c r="E39" s="7">
        <f>IF(D39="","",(1+D39/100)^12-1)</f>
      </c>
      <c r="I39" s="6">
        <f>IF(C39="","",C39*D39/100)</f>
      </c>
    </row>
    <row r="40" spans="2:9" x14ac:dyDescent="0.25">
      <c r="E40" s="7">
        <f>IF(D40="","",(1+D40/100)^12-1)</f>
      </c>
      <c r="I40" s="6">
        <f>IF(C40="","",C40*D40/100)</f>
      </c>
    </row>
    <row r="41" spans="2:9" x14ac:dyDescent="0.25">
      <c r="E41" s="7">
        <f>IF(D41="","",(1+D41/100)^12-1)</f>
      </c>
      <c r="I41" s="6">
        <f>IF(C41="","",C41*D41/100)</f>
      </c>
    </row>
    <row r="42" spans="2:9" x14ac:dyDescent="0.25">
      <c r="E42" s="7">
        <f>IF(D42="","",(1+D42/100)^12-1)</f>
      </c>
      <c r="I42" s="6">
        <f>IF(C42="","",C42*D42/100)</f>
      </c>
    </row>
    <row r="43" spans="2:9" x14ac:dyDescent="0.25">
      <c r="E43" s="7">
        <f>IF(D43="","",(1+D43/100)^12-1)</f>
      </c>
      <c r="I43" s="6">
        <f>IF(C43="","",C43*D43/100)</f>
      </c>
    </row>
    <row r="44" spans="2:9" x14ac:dyDescent="0.25">
      <c r="E44" s="7">
        <f>IF(D44="","",(1+D44/100)^12-1)</f>
      </c>
      <c r="I44" s="6">
        <f>IF(C44="","",C44*D44/100)</f>
      </c>
    </row>
    <row r="45" spans="2:9" x14ac:dyDescent="0.25">
      <c r="E45" s="7">
        <f>IF(D45="","",(1+D45/100)^12-1)</f>
      </c>
      <c r="I45" s="6">
        <f>IF(C45="","",C45*D45/100)</f>
      </c>
    </row>
    <row r="46" spans="2:9" x14ac:dyDescent="0.25">
      <c r="E46" s="7">
        <f>IF(D46="","",(1+D46/100)^12-1)</f>
      </c>
      <c r="I46" s="6">
        <f>IF(C46="","",C46*D46/100)</f>
      </c>
    </row>
    <row r="47" spans="2:9" x14ac:dyDescent="0.25">
      <c r="E47" s="7">
        <f>IF(D47="","",(1+D47/100)^12-1)</f>
      </c>
      <c r="I47" s="6">
        <f>IF(C47="","",C47*D47/100)</f>
      </c>
    </row>
    <row r="48" spans="2:9" x14ac:dyDescent="0.25">
      <c r="E48" s="7">
        <f>IF(D48="","",(1+D48/100)^12-1)</f>
      </c>
      <c r="I48" s="6">
        <f>IF(C48="","",C48*D48/100)</f>
      </c>
    </row>
    <row r="49" spans="2:9" x14ac:dyDescent="0.25">
      <c r="E49" s="7">
        <f>IF(D49="","",(1+D49/100)^12-1)</f>
      </c>
      <c r="I49" s="6">
        <f>IF(C49="","",C49*D49/100)</f>
      </c>
    </row>
    <row r="50" spans="2:9" x14ac:dyDescent="0.25">
      <c r="E50" s="7">
        <f>IF(D50="","",(1+D50/100)^12-1)</f>
      </c>
      <c r="I50" s="6">
        <f>IF(C50="","",C50*D50/100)</f>
      </c>
    </row>
    <row r="51" spans="2:9" x14ac:dyDescent="0.25">
      <c r="E51" s="7">
        <f>IF(D51="","",(1+D51/100)^12-1)</f>
      </c>
      <c r="I51" s="6">
        <f>IF(C51="","",C51*D51/100)</f>
      </c>
    </row>
  </sheetData>
  <conditionalFormatting sqref="D2:D51">
    <cfRule type="cellIs" dxfId="1" priority="1" operator="greaterThan">
      <formula>5</formula>
    </cfRule>
  </conditionalFormatting>
  <dataValidations count="4">
    <dataValidation type="list" allowBlank="1" showErrorMessage="1" sqref="B10:B51">
      <formula1>Listas!$D$2:$D$8</formula1>
    </dataValidation>
    <dataValidation type="list" allowBlank="1" showErrorMessage="1" sqref="B2:B51">
      <formula1>Listas!$D$2:$D$8</formula1>
    </dataValidation>
    <dataValidation type="list" allowBlank="1" showErrorMessage="1" sqref="H10:H51">
      <formula1>Listas!$G$2:$G$3</formula1>
    </dataValidation>
    <dataValidation type="list" allowBlank="1" showErrorMessage="1" sqref="H2:H51">
      <formula1>Listas!$G$2:$G$3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L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12" customWidth="1"/>
    <col min="4" max="6" width="16" style="6" customWidth="1"/>
    <col min="7" max="8" width="15" style="6" customWidth="1"/>
    <col min="9" max="9" width="11" style="7" customWidth="1"/>
    <col min="10" max="10" width="22" style="16" customWidth="1"/>
    <col min="11" max="11" width="13" style="12" customWidth="1"/>
    <col min="12" max="12" width="36" customWidth="1"/>
  </cols>
  <sheetData>
    <row r="1" ht="22" customHeight="1" spans="1:12" s="13" customFormat="1" x14ac:dyDescent="0.25">
      <c r="A1" s="13" t="s">
        <v>49</v>
      </c>
      <c r="B1" s="13" t="s">
        <v>37</v>
      </c>
      <c r="C1" s="13" t="s">
        <v>50</v>
      </c>
      <c r="D1" s="15" t="s">
        <v>51</v>
      </c>
      <c r="E1" s="15" t="s">
        <v>52</v>
      </c>
      <c r="F1" s="15" t="s">
        <v>53</v>
      </c>
      <c r="G1" s="15" t="s">
        <v>54</v>
      </c>
      <c r="H1" s="15" t="s">
        <v>55</v>
      </c>
      <c r="I1" s="18" t="s">
        <v>56</v>
      </c>
      <c r="J1" s="17" t="s">
        <v>57</v>
      </c>
      <c r="K1" s="14" t="s">
        <v>58</v>
      </c>
      <c r="L1" s="13" t="s">
        <v>48</v>
      </c>
    </row>
    <row r="2" spans="2:9" x14ac:dyDescent="0.25">
      <c r="F2" s="6">
        <f>IF(A2="","",E2-D2)</f>
      </c>
      <c r="I2" s="7">
        <f>IF(OR(H2="",H2=0),"",MIN(1,E2/H2))</f>
      </c>
    </row>
    <row r="3" spans="2:9" x14ac:dyDescent="0.25">
      <c r="F3" s="6">
        <f>IF(A3="","",E3-D3)</f>
      </c>
      <c r="I3" s="7">
        <f>IF(OR(H3="",H3=0),"",MIN(1,E3/H3))</f>
      </c>
    </row>
    <row r="4" spans="2:9" x14ac:dyDescent="0.25">
      <c r="F4" s="6">
        <f>IF(A4="","",E4-D4)</f>
      </c>
      <c r="I4" s="7">
        <f>IF(OR(H4="",H4=0),"",MIN(1,E4/H4))</f>
      </c>
    </row>
    <row r="5" spans="2:9" x14ac:dyDescent="0.25">
      <c r="F5" s="6">
        <f>IF(A5="","",E5-D5)</f>
      </c>
      <c r="I5" s="7">
        <f>IF(OR(H5="",H5=0),"",MIN(1,E5/H5))</f>
      </c>
    </row>
    <row r="6" spans="2:9" x14ac:dyDescent="0.25">
      <c r="F6" s="6">
        <f>IF(A6="","",E6-D6)</f>
      </c>
      <c r="I6" s="7">
        <f>IF(OR(H6="",H6=0),"",MIN(1,E6/H6))</f>
      </c>
    </row>
    <row r="7" spans="2:9" x14ac:dyDescent="0.25">
      <c r="F7" s="6">
        <f>IF(A7="","",E7-D7)</f>
      </c>
      <c r="I7" s="7">
        <f>IF(OR(H7="",H7=0),"",MIN(1,E7/H7))</f>
      </c>
    </row>
    <row r="8" spans="2:9" x14ac:dyDescent="0.25">
      <c r="F8" s="6">
        <f>IF(A8="","",E8-D8)</f>
      </c>
      <c r="I8" s="7">
        <f>IF(OR(H8="",H8=0),"",MIN(1,E8/H8))</f>
      </c>
    </row>
    <row r="9" spans="2:9" x14ac:dyDescent="0.25">
      <c r="F9" s="6">
        <f>IF(A9="","",E9-D9)</f>
      </c>
      <c r="I9" s="7">
        <f>IF(OR(H9="",H9=0),"",MIN(1,E9/H9))</f>
      </c>
    </row>
    <row r="10" spans="2:9" x14ac:dyDescent="0.25">
      <c r="F10" s="6">
        <f>IF(A10="","",E10-D10)</f>
      </c>
      <c r="I10" s="7">
        <f>IF(OR(H10="",H10=0),"",MIN(1,E10/H10))</f>
      </c>
    </row>
    <row r="11" spans="2:9" x14ac:dyDescent="0.25">
      <c r="F11" s="6">
        <f>IF(A11="","",E11-D11)</f>
      </c>
      <c r="I11" s="7">
        <f>IF(OR(H11="",H11=0),"",MIN(1,E11/H11))</f>
      </c>
    </row>
    <row r="12" spans="2:9" x14ac:dyDescent="0.25">
      <c r="F12" s="6">
        <f>IF(A12="","",E12-D12)</f>
      </c>
      <c r="I12" s="7">
        <f>IF(OR(H12="",H12=0),"",MIN(1,E12/H12))</f>
      </c>
    </row>
    <row r="13" spans="2:9" x14ac:dyDescent="0.25">
      <c r="F13" s="6">
        <f>IF(A13="","",E13-D13)</f>
      </c>
      <c r="I13" s="7">
        <f>IF(OR(H13="",H13=0),"",MIN(1,E13/H13))</f>
      </c>
    </row>
    <row r="14" spans="2:9" x14ac:dyDescent="0.25">
      <c r="F14" s="6">
        <f>IF(A14="","",E14-D14)</f>
      </c>
      <c r="I14" s="7">
        <f>IF(OR(H14="",H14=0),"",MIN(1,E14/H14))</f>
      </c>
    </row>
    <row r="15" spans="2:9" x14ac:dyDescent="0.25">
      <c r="F15" s="6">
        <f>IF(A15="","",E15-D15)</f>
      </c>
      <c r="I15" s="7">
        <f>IF(OR(H15="",H15=0),"",MIN(1,E15/H15))</f>
      </c>
    </row>
    <row r="16" spans="2:9" x14ac:dyDescent="0.25">
      <c r="F16" s="6">
        <f>IF(A16="","",E16-D16)</f>
      </c>
      <c r="I16" s="7">
        <f>IF(OR(H16="",H16=0),"",MIN(1,E16/H16))</f>
      </c>
    </row>
    <row r="17" spans="2:9" x14ac:dyDescent="0.25">
      <c r="F17" s="6">
        <f>IF(A17="","",E17-D17)</f>
      </c>
      <c r="I17" s="7">
        <f>IF(OR(H17="",H17=0),"",MIN(1,E17/H17))</f>
      </c>
    </row>
    <row r="18" spans="2:9" x14ac:dyDescent="0.25">
      <c r="F18" s="6">
        <f>IF(A18="","",E18-D18)</f>
      </c>
      <c r="I18" s="7">
        <f>IF(OR(H18="",H18=0),"",MIN(1,E18/H18))</f>
      </c>
    </row>
    <row r="19" spans="2:9" x14ac:dyDescent="0.25">
      <c r="F19" s="6">
        <f>IF(A19="","",E19-D19)</f>
      </c>
      <c r="I19" s="7">
        <f>IF(OR(H19="",H19=0),"",MIN(1,E19/H19))</f>
      </c>
    </row>
    <row r="20" spans="2:9" x14ac:dyDescent="0.25">
      <c r="F20" s="6">
        <f>IF(A20="","",E20-D20)</f>
      </c>
      <c r="I20" s="7">
        <f>IF(OR(H20="",H20=0),"",MIN(1,E20/H20))</f>
      </c>
    </row>
    <row r="21" spans="2:9" x14ac:dyDescent="0.25">
      <c r="F21" s="6">
        <f>IF(A21="","",E21-D21)</f>
      </c>
      <c r="I21" s="7">
        <f>IF(OR(H21="",H21=0),"",MIN(1,E21/H21))</f>
      </c>
    </row>
    <row r="22" spans="2:9" x14ac:dyDescent="0.25">
      <c r="F22" s="6">
        <f>IF(A22="","",E22-D22)</f>
      </c>
      <c r="I22" s="7">
        <f>IF(OR(H22="",H22=0),"",MIN(1,E22/H22))</f>
      </c>
    </row>
    <row r="23" spans="2:9" x14ac:dyDescent="0.25">
      <c r="F23" s="6">
        <f>IF(A23="","",E23-D23)</f>
      </c>
      <c r="I23" s="7">
        <f>IF(OR(H23="",H23=0),"",MIN(1,E23/H23))</f>
      </c>
    </row>
    <row r="24" spans="2:9" x14ac:dyDescent="0.25">
      <c r="F24" s="6">
        <f>IF(A24="","",E24-D24)</f>
      </c>
      <c r="I24" s="7">
        <f>IF(OR(H24="",H24=0),"",MIN(1,E24/H24))</f>
      </c>
    </row>
    <row r="25" spans="2:9" x14ac:dyDescent="0.25">
      <c r="F25" s="6">
        <f>IF(A25="","",E25-D25)</f>
      </c>
      <c r="I25" s="7">
        <f>IF(OR(H25="",H25=0),"",MIN(1,E25/H25))</f>
      </c>
    </row>
    <row r="26" spans="2:9" x14ac:dyDescent="0.25">
      <c r="F26" s="6">
        <f>IF(A26="","",E26-D26)</f>
      </c>
      <c r="I26" s="7">
        <f>IF(OR(H26="",H26=0),"",MIN(1,E26/H26))</f>
      </c>
    </row>
    <row r="27" spans="2:9" x14ac:dyDescent="0.25">
      <c r="F27" s="6">
        <f>IF(A27="","",E27-D27)</f>
      </c>
      <c r="I27" s="7">
        <f>IF(OR(H27="",H27=0),"",MIN(1,E27/H27))</f>
      </c>
    </row>
    <row r="28" spans="2:9" x14ac:dyDescent="0.25">
      <c r="F28" s="6">
        <f>IF(A28="","",E28-D28)</f>
      </c>
      <c r="I28" s="7">
        <f>IF(OR(H28="",H28=0),"",MIN(1,E28/H28))</f>
      </c>
    </row>
    <row r="29" spans="2:9" x14ac:dyDescent="0.25">
      <c r="F29" s="6">
        <f>IF(A29="","",E29-D29)</f>
      </c>
      <c r="I29" s="7">
        <f>IF(OR(H29="",H29=0),"",MIN(1,E29/H29))</f>
      </c>
    </row>
    <row r="30" spans="2:9" x14ac:dyDescent="0.25">
      <c r="F30" s="6">
        <f>IF(A30="","",E30-D30)</f>
      </c>
      <c r="I30" s="7">
        <f>IF(OR(H30="",H30=0),"",MIN(1,E30/H30))</f>
      </c>
    </row>
    <row r="31" spans="2:9" x14ac:dyDescent="0.25">
      <c r="F31" s="6">
        <f>IF(A31="","",E31-D31)</f>
      </c>
      <c r="I31" s="7">
        <f>IF(OR(H31="",H31=0),"",MIN(1,E31/H31))</f>
      </c>
    </row>
    <row r="32" spans="2:9" x14ac:dyDescent="0.25">
      <c r="F32" s="6">
        <f>IF(A32="","",E32-D32)</f>
      </c>
      <c r="I32" s="7">
        <f>IF(OR(H32="",H32=0),"",MIN(1,E32/H32))</f>
      </c>
    </row>
    <row r="33" spans="2:9" x14ac:dyDescent="0.25">
      <c r="F33" s="6">
        <f>IF(A33="","",E33-D33)</f>
      </c>
      <c r="I33" s="7">
        <f>IF(OR(H33="",H33=0),"",MIN(1,E33/H33))</f>
      </c>
    </row>
    <row r="34" spans="2:9" x14ac:dyDescent="0.25">
      <c r="F34" s="6">
        <f>IF(A34="","",E34-D34)</f>
      </c>
      <c r="I34" s="7">
        <f>IF(OR(H34="",H34=0),"",MIN(1,E34/H34))</f>
      </c>
    </row>
    <row r="35" spans="2:9" x14ac:dyDescent="0.25">
      <c r="F35" s="6">
        <f>IF(A35="","",E35-D35)</f>
      </c>
      <c r="I35" s="7">
        <f>IF(OR(H35="",H35=0),"",MIN(1,E35/H35))</f>
      </c>
    </row>
    <row r="36" spans="2:9" x14ac:dyDescent="0.25">
      <c r="F36" s="6">
        <f>IF(A36="","",E36-D36)</f>
      </c>
      <c r="I36" s="7">
        <f>IF(OR(H36="",H36=0),"",MIN(1,E36/H36))</f>
      </c>
    </row>
    <row r="37" spans="2:9" x14ac:dyDescent="0.25">
      <c r="F37" s="6">
        <f>IF(A37="","",E37-D37)</f>
      </c>
      <c r="I37" s="7">
        <f>IF(OR(H37="",H37=0),"",MIN(1,E37/H37))</f>
      </c>
    </row>
    <row r="38" spans="2:9" x14ac:dyDescent="0.25">
      <c r="F38" s="6">
        <f>IF(A38="","",E38-D38)</f>
      </c>
      <c r="I38" s="7">
        <f>IF(OR(H38="",H38=0),"",MIN(1,E38/H38))</f>
      </c>
    </row>
    <row r="39" spans="2:9" x14ac:dyDescent="0.25">
      <c r="F39" s="6">
        <f>IF(A39="","",E39-D39)</f>
      </c>
      <c r="I39" s="7">
        <f>IF(OR(H39="",H39=0),"",MIN(1,E39/H39))</f>
      </c>
    </row>
    <row r="40" spans="2:9" x14ac:dyDescent="0.25">
      <c r="F40" s="6">
        <f>IF(A40="","",E40-D40)</f>
      </c>
      <c r="I40" s="7">
        <f>IF(OR(H40="",H40=0),"",MIN(1,E40/H40))</f>
      </c>
    </row>
    <row r="41" spans="2:9" x14ac:dyDescent="0.25">
      <c r="F41" s="6">
        <f>IF(A41="","",E41-D41)</f>
      </c>
      <c r="I41" s="7">
        <f>IF(OR(H41="",H41=0),"",MIN(1,E41/H41))</f>
      </c>
    </row>
    <row r="42" spans="2:9" x14ac:dyDescent="0.25">
      <c r="F42" s="6">
        <f>IF(A42="","",E42-D42)</f>
      </c>
      <c r="I42" s="7">
        <f>IF(OR(H42="",H42=0),"",MIN(1,E42/H42))</f>
      </c>
    </row>
    <row r="43" spans="2:9" x14ac:dyDescent="0.25">
      <c r="F43" s="6">
        <f>IF(A43="","",E43-D43)</f>
      </c>
      <c r="I43" s="7">
        <f>IF(OR(H43="",H43=0),"",MIN(1,E43/H43))</f>
      </c>
    </row>
    <row r="44" spans="2:9" x14ac:dyDescent="0.25">
      <c r="F44" s="6">
        <f>IF(A44="","",E44-D44)</f>
      </c>
      <c r="I44" s="7">
        <f>IF(OR(H44="",H44=0),"",MIN(1,E44/H44))</f>
      </c>
    </row>
    <row r="45" spans="2:9" x14ac:dyDescent="0.25">
      <c r="F45" s="6">
        <f>IF(A45="","",E45-D45)</f>
      </c>
      <c r="I45" s="7">
        <f>IF(OR(H45="",H45=0),"",MIN(1,E45/H45))</f>
      </c>
    </row>
    <row r="46" spans="2:9" x14ac:dyDescent="0.25">
      <c r="F46" s="6">
        <f>IF(A46="","",E46-D46)</f>
      </c>
      <c r="I46" s="7">
        <f>IF(OR(H46="",H46=0),"",MIN(1,E46/H46))</f>
      </c>
    </row>
    <row r="47" spans="2:9" x14ac:dyDescent="0.25">
      <c r="F47" s="6">
        <f>IF(A47="","",E47-D47)</f>
      </c>
      <c r="I47" s="7">
        <f>IF(OR(H47="",H47=0),"",MIN(1,E47/H47))</f>
      </c>
    </row>
    <row r="48" spans="2:9" x14ac:dyDescent="0.25">
      <c r="F48" s="6">
        <f>IF(A48="","",E48-D48)</f>
      </c>
      <c r="I48" s="7">
        <f>IF(OR(H48="",H48=0),"",MIN(1,E48/H48))</f>
      </c>
    </row>
    <row r="49" spans="2:9" x14ac:dyDescent="0.25">
      <c r="F49" s="6">
        <f>IF(A49="","",E49-D49)</f>
      </c>
      <c r="I49" s="7">
        <f>IF(OR(H49="",H49=0),"",MIN(1,E49/H49))</f>
      </c>
    </row>
    <row r="50" spans="2:9" x14ac:dyDescent="0.25">
      <c r="F50" s="6">
        <f>IF(A50="","",E50-D50)</f>
      </c>
      <c r="I50" s="7">
        <f>IF(OR(H50="",H50=0),"",MIN(1,E50/H50))</f>
      </c>
    </row>
    <row r="51" spans="2:9" x14ac:dyDescent="0.25">
      <c r="F51" s="6">
        <f>IF(A51="","",E51-D51)</f>
      </c>
      <c r="I51" s="7">
        <f>IF(OR(H51="",H51=0),"",MIN(1,E51/H51))</f>
      </c>
    </row>
  </sheetData>
  <dataValidations count="4">
    <dataValidation type="list" allowBlank="1" showErrorMessage="1" sqref="B10:B51">
      <formula1>Listas!$E$2:$E$11</formula1>
    </dataValidation>
    <dataValidation type="list" allowBlank="1" showErrorMessage="1" sqref="B2:B51">
      <formula1>Listas!$E$2:$E$11</formula1>
    </dataValidation>
    <dataValidation type="list" allowBlank="1" showErrorMessage="1" sqref="C10:C51">
      <formula1>Listas!$F$2:$F$3</formula1>
    </dataValidation>
    <dataValidation type="list" allowBlank="1" showErrorMessage="1" sqref="C2:C51">
      <formula1>Listas!$F$2:$F$3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6" customWidth="1"/>
  </cols>
  <sheetData>
    <row r="1" ht="22" customHeight="1" spans="1:7" s="13" customFormat="1" x14ac:dyDescent="0.25">
      <c r="A1" s="13" t="s">
        <v>59</v>
      </c>
      <c r="B1" s="13" t="s">
        <v>60</v>
      </c>
      <c r="C1" s="13" t="s">
        <v>61</v>
      </c>
      <c r="D1" s="13" t="s">
        <v>62</v>
      </c>
      <c r="E1" s="13" t="s">
        <v>63</v>
      </c>
      <c r="F1" s="13" t="s">
        <v>50</v>
      </c>
      <c r="G1" s="13" t="s">
        <v>64</v>
      </c>
    </row>
    <row r="2" spans="1:7" x14ac:dyDescent="0.25">
      <c r="A2" t="s">
        <v>65</v>
      </c>
      <c r="B2" t="s">
        <v>6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</row>
    <row r="3" spans="1:7" x14ac:dyDescent="0.25">
      <c r="A3" t="s">
        <v>71</v>
      </c>
      <c r="B3" t="s">
        <v>8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</row>
    <row r="4" spans="2:5" x14ac:dyDescent="0.25">
      <c r="B4" t="s">
        <v>10</v>
      </c>
      <c r="C4" t="s">
        <v>67</v>
      </c>
      <c r="D4" t="s">
        <v>77</v>
      </c>
      <c r="E4" t="s">
        <v>78</v>
      </c>
    </row>
    <row r="5" spans="2:5" x14ac:dyDescent="0.25">
      <c r="B5" t="s">
        <v>12</v>
      </c>
      <c r="C5" t="s">
        <v>79</v>
      </c>
      <c r="D5" t="s">
        <v>80</v>
      </c>
      <c r="E5" t="s">
        <v>81</v>
      </c>
    </row>
    <row r="6" spans="2:5" x14ac:dyDescent="0.25">
      <c r="B6" t="s">
        <v>14</v>
      </c>
      <c r="C6" t="s">
        <v>82</v>
      </c>
      <c r="D6" t="s">
        <v>83</v>
      </c>
      <c r="E6" t="s">
        <v>84</v>
      </c>
    </row>
    <row r="7" spans="2:5" x14ac:dyDescent="0.25">
      <c r="B7" t="s">
        <v>16</v>
      </c>
      <c r="C7" t="s">
        <v>85</v>
      </c>
      <c r="D7" t="s">
        <v>86</v>
      </c>
      <c r="E7" t="s">
        <v>87</v>
      </c>
    </row>
    <row r="8" spans="2:5" x14ac:dyDescent="0.25">
      <c r="B8" t="s">
        <v>18</v>
      </c>
      <c r="D8" t="s">
        <v>88</v>
      </c>
      <c r="E8" t="s">
        <v>89</v>
      </c>
    </row>
    <row r="9" spans="2:5" x14ac:dyDescent="0.25">
      <c r="B9" t="s">
        <v>20</v>
      </c>
      <c r="E9" t="s">
        <v>90</v>
      </c>
    </row>
    <row r="10" spans="2:5" x14ac:dyDescent="0.25">
      <c r="B10" t="s">
        <v>22</v>
      </c>
      <c r="E10" t="s">
        <v>91</v>
      </c>
    </row>
    <row r="11" spans="2:5" x14ac:dyDescent="0.25">
      <c r="B11" t="s">
        <v>24</v>
      </c>
      <c r="E11" t="s">
        <v>92</v>
      </c>
    </row>
    <row r="12" spans="2:2" x14ac:dyDescent="0.25">
      <c r="B12" t="s">
        <v>25</v>
      </c>
    </row>
    <row r="13" spans="2:2" x14ac:dyDescent="0.25">
      <c r="B13" t="s">
        <v>27</v>
      </c>
    </row>
    <row r="14" spans="2:2" x14ac:dyDescent="0.25">
      <c r="B14" t="s">
        <v>32</v>
      </c>
    </row>
    <row r="15" spans="2:2" x14ac:dyDescent="0.25">
      <c r="B15" t="s">
        <v>93</v>
      </c>
    </row>
    <row r="16" spans="2:2" x14ac:dyDescent="0.25">
      <c r="B16" t="s">
        <v>94</v>
      </c>
    </row>
    <row r="17" spans="2:2" x14ac:dyDescent="0.25">
      <c r="B17" t="s">
        <v>95</v>
      </c>
    </row>
    <row r="18" spans="2:2" x14ac:dyDescent="0.25">
      <c r="B18" t="s">
        <v>96</v>
      </c>
    </row>
    <row r="19" spans="2:2" x14ac:dyDescent="0.25">
      <c r="B19" t="s">
        <v>97</v>
      </c>
    </row>
    <row r="20" spans="2:2" x14ac:dyDescent="0.25">
      <c r="B20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Lançamentos</vt:lpstr>
      <vt:lpstr>Dívidas</vt:lpstr>
      <vt:lpstr>Investimentos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Planner</dc:creator>
  <dc:title/>
  <dc:subject/>
  <dc:description/>
  <cp:keywords/>
  <cp:category/>
  <cp:lastModifiedBy>Unknown</cp:lastModifiedBy>
  <dcterms:created xsi:type="dcterms:W3CDTF">2026-10-27T06:04:49Z</dcterms:created>
  <dcterms:modified xsi:type="dcterms:W3CDTF">2026-10-27T06:04:49Z</dcterms:modified>
</cp:coreProperties>
</file>